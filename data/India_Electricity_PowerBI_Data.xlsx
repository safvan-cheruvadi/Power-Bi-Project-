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National_Capacity" sheetId="2" state="visible" r:id="rId2"/>
    <sheet xmlns:r="http://schemas.openxmlformats.org/officeDocument/2006/relationships" name="State_Capacity" sheetId="3" state="visible" r:id="rId3"/>
    <sheet xmlns:r="http://schemas.openxmlformats.org/officeDocument/2006/relationships" name="State_Consumption" sheetId="4" state="visible" r:id="rId4"/>
    <sheet xmlns:r="http://schemas.openxmlformats.org/officeDocument/2006/relationships" name="Annual_Tren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+0.0%;-0.0%;0.0%"/>
    <numFmt numFmtId="166" formatCode="#,##0.0"/>
    <numFmt numFmtId="167" formatCode="0.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3864"/>
      <sz val="10"/>
    </font>
    <font>
      <name val="Arial"/>
      <b val="1"/>
      <sz val="10"/>
    </font>
    <font>
      <name val="Arial"/>
      <i val="1"/>
      <color rgb="00888888"/>
      <sz val="9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E8F4FD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C8F7C5"/>
      </patternFill>
    </fill>
    <fill>
      <patternFill patternType="solid">
        <fgColor rgb="00FEF9E7"/>
      </patternFill>
    </fill>
    <fill>
      <patternFill patternType="solid">
        <fgColor rgb="00FADBD8"/>
      </patternFill>
    </fill>
    <fill>
      <patternFill patternType="solid">
        <fgColor rgb="00FAD7A0"/>
      </patternFill>
    </fill>
    <fill>
      <patternFill patternType="solid">
        <fgColor rgb="00D5F5E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4" fontId="6" fillId="5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4" fontId="6" fillId="6" borderId="1" applyAlignment="1" pivotButton="0" quotePrefix="0" xfId="0">
      <alignment horizontal="center" vertical="center"/>
    </xf>
    <xf numFmtId="164" fontId="6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0" fillId="0" borderId="1" pivotButton="0" quotePrefix="0" xfId="0"/>
    <xf numFmtId="4" fontId="8" fillId="7" borderId="1" applyAlignment="1" pivotButton="0" quotePrefix="0" xfId="0">
      <alignment horizontal="center" vertical="center"/>
    </xf>
    <xf numFmtId="164" fontId="8" fillId="7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165" fontId="6" fillId="8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/>
    </xf>
    <xf numFmtId="0" fontId="6" fillId="9" borderId="1" applyAlignment="1" pivotButton="0" quotePrefix="0" xfId="0">
      <alignment horizontal="center" vertical="center"/>
    </xf>
    <xf numFmtId="165" fontId="6" fillId="9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165" fontId="6" fillId="10" borderId="1" applyAlignment="1" pivotButton="0" quotePrefix="0" xfId="0">
      <alignment horizontal="center" vertical="center"/>
    </xf>
    <xf numFmtId="3" fontId="6" fillId="5" borderId="1" applyAlignment="1" pivotButton="0" quotePrefix="0" xfId="0">
      <alignment horizontal="center" vertical="center"/>
    </xf>
    <xf numFmtId="10" fontId="6" fillId="0" borderId="1" applyAlignment="1" pivotButton="0" quotePrefix="0" xfId="0">
      <alignment horizontal="center" vertical="center"/>
    </xf>
    <xf numFmtId="166" fontId="6" fillId="5" borderId="1" applyAlignment="1" pivotButton="0" quotePrefix="0" xfId="0">
      <alignment horizontal="center" vertical="center"/>
    </xf>
    <xf numFmtId="167" fontId="6" fillId="5" borderId="1" applyAlignment="1" pivotButton="0" quotePrefix="0" xfId="0">
      <alignment horizontal="center" vertical="center"/>
    </xf>
    <xf numFmtId="9" fontId="6" fillId="5" borderId="1" applyAlignment="1" pivotButton="0" quotePrefix="0" xfId="0">
      <alignment horizontal="center" vertical="center"/>
    </xf>
    <xf numFmtId="3" fontId="6" fillId="6" borderId="1" applyAlignment="1" pivotButton="0" quotePrefix="0" xfId="0">
      <alignment horizontal="center" vertical="center"/>
    </xf>
    <xf numFmtId="166" fontId="6" fillId="6" borderId="1" applyAlignment="1" pivotButton="0" quotePrefix="0" xfId="0">
      <alignment horizontal="center" vertical="center"/>
    </xf>
    <xf numFmtId="167" fontId="6" fillId="6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9" fontId="6" fillId="6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/>
    </xf>
    <xf numFmtId="3" fontId="8" fillId="7" borderId="1" applyAlignment="1" pivotButton="0" quotePrefix="0" xfId="0">
      <alignment horizontal="center" vertical="center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1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65" customWidth="1" min="3" max="3"/>
  </cols>
  <sheetData>
    <row r="2" ht="30" customHeight="1">
      <c r="B2" s="1" t="inlineStr">
        <is>
          <t>India Electricity Dashboard — Power BI Data Pack</t>
        </is>
      </c>
    </row>
    <row r="3">
      <c r="B3" t="inlineStr"/>
    </row>
    <row r="4">
      <c r="B4" s="2" t="inlineStr">
        <is>
          <t>Sheet</t>
        </is>
      </c>
      <c r="C4" s="2" t="inlineStr">
        <is>
          <t>Name</t>
        </is>
      </c>
      <c r="D4" s="2" t="inlineStr">
        <is>
          <t>Description</t>
        </is>
      </c>
    </row>
    <row r="5">
      <c r="B5" s="3" t="inlineStr">
        <is>
          <t>README</t>
        </is>
      </c>
      <c r="C5" s="4" t="inlineStr">
        <is>
          <t>This guide — how to use each sheet in Power BI</t>
        </is>
      </c>
    </row>
    <row r="6">
      <c r="B6" s="3" t="inlineStr">
        <is>
          <t>National_Capacity</t>
        </is>
      </c>
      <c r="C6" s="4" t="inlineStr">
        <is>
          <t>All-India installed capacity by energy source (FY 2024-25). Use for donut/bar charts on Dashboard 1.</t>
        </is>
      </c>
    </row>
    <row r="7">
      <c r="B7" s="3" t="inlineStr">
        <is>
          <t>State_Capacity</t>
        </is>
      </c>
      <c r="C7" s="4" t="inlineStr">
        <is>
          <t>State-wise installed capacity broken down by Solar, Wind, Hydro, Thermal, Nuclear, Bio (MW). Use for map + stacked bar on Dashboard 1.</t>
        </is>
      </c>
    </row>
    <row r="8">
      <c r="B8" s="3" t="inlineStr">
        <is>
          <t>State_Consumption</t>
        </is>
      </c>
      <c r="C8" s="4" t="inlineStr">
        <is>
          <t>State-wise annual electricity consumption (GWh) and per capita (kWh/person). Use for map + ranking on Dashboard 2.</t>
        </is>
      </c>
    </row>
    <row r="9">
      <c r="B9" s="3" t="inlineStr">
        <is>
          <t>Annual_Trend</t>
        </is>
      </c>
      <c r="C9" s="4" t="inlineStr">
        <is>
          <t>Year-wise national generation by source from FY 2014-15 to FY 2024-25 (BU). Use for line/area trend chart.</t>
        </is>
      </c>
    </row>
    <row r="10">
      <c r="B10" t="inlineStr"/>
    </row>
    <row r="11">
      <c r="B11" s="5" t="inlineStr">
        <is>
          <t>Power BI Tips</t>
        </is>
      </c>
    </row>
    <row r="12">
      <c r="B12" s="3" t="inlineStr">
        <is>
          <t>Import all sheets</t>
        </is>
      </c>
      <c r="C12" s="6" t="inlineStr">
        <is>
          <t>Use Get Data &gt; Excel &gt; select all 4 data sheets. Create relationships where State is the common key.</t>
        </is>
      </c>
    </row>
    <row r="13">
      <c r="B13" s="3" t="inlineStr">
        <is>
          <t>Dashboard 1 — Capacity</t>
        </is>
      </c>
      <c r="C13" s="6" t="inlineStr">
        <is>
          <t>Donut chart: National_Capacity[Source] vs [Capacity_GW]. Stacked bar: State_Capacity by source. India map by total capacity.</t>
        </is>
      </c>
    </row>
    <row r="14">
      <c r="B14" s="3" t="inlineStr">
        <is>
          <t>Dashboard 2 — Consumption</t>
        </is>
      </c>
      <c r="C14" s="6" t="inlineStr">
        <is>
          <t>Choropleth map: State_Consumption[State] + [Annual_GWh]. Bar chart ranking. Card KPIs for India total &amp; per capita.</t>
        </is>
      </c>
    </row>
    <row r="15">
      <c r="B15" s="3" t="inlineStr">
        <is>
          <t>Slicers</t>
        </is>
      </c>
      <c r="C15" s="6" t="inlineStr">
        <is>
          <t>Add slicers for Source (Solar/Wind/Hydro/Thermal), Region (North/South/East/West), and Year.</t>
        </is>
      </c>
    </row>
    <row r="16">
      <c r="B16" s="3" t="inlineStr">
        <is>
          <t>Colour theme</t>
        </is>
      </c>
      <c r="C16" s="6" t="inlineStr">
        <is>
          <t>Solar=Gold, Wind=Blue, Hydro=Green, Thermal=Red, Nuclear=Purple, Bio=Teal. Consistent across both dashboards.</t>
        </is>
      </c>
    </row>
    <row r="17">
      <c r="B17" s="3" t="inlineStr">
        <is>
          <t>Data source</t>
        </is>
      </c>
      <c r="C17" s="6" t="inlineStr">
        <is>
          <t>CEA (Central Electricity Authority), MNRE, JMK Research, Wikipedia. Reference year: FY 2024-25.</t>
        </is>
      </c>
    </row>
  </sheetData>
  <mergeCells count="2">
    <mergeCell ref="B11:C11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22" customWidth="1" min="3" max="3"/>
    <col width="16" customWidth="1" min="4" max="4"/>
    <col width="22" customWidth="1" min="5" max="5"/>
    <col width="18" customWidth="1" min="6" max="6"/>
    <col width="18" customWidth="1" min="7" max="7"/>
    <col width="18" customWidth="1" min="8" max="8"/>
    <col width="14" customWidth="1" min="9" max="9"/>
    <col width="45" customWidth="1" min="10" max="10"/>
  </cols>
  <sheetData>
    <row r="1" ht="35" customHeight="1">
      <c r="A1" s="7" t="inlineStr">
        <is>
          <t>Source</t>
        </is>
      </c>
      <c r="B1" s="7" t="inlineStr">
        <is>
          <t>Category</t>
        </is>
      </c>
      <c r="C1" s="7" t="inlineStr">
        <is>
          <t>Installed_Capacity_GW</t>
        </is>
      </c>
      <c r="D1" s="7" t="inlineStr">
        <is>
          <t>Share_Percent</t>
        </is>
      </c>
      <c r="E1" s="7" t="inlineStr">
        <is>
          <t>Annual_Generation_BU</t>
        </is>
      </c>
      <c r="F1" s="7" t="inlineStr">
        <is>
          <t>Gen_Share_Percent</t>
        </is>
      </c>
      <c r="G1" s="7" t="inlineStr">
        <is>
          <t>CAGR_10yr_Percent</t>
        </is>
      </c>
      <c r="H1" s="7" t="inlineStr">
        <is>
          <t>2030_Target_GW</t>
        </is>
      </c>
      <c r="I1" s="7" t="inlineStr">
        <is>
          <t>Color_Code</t>
        </is>
      </c>
      <c r="J1" s="7" t="inlineStr">
        <is>
          <t>Notes</t>
        </is>
      </c>
    </row>
    <row r="2">
      <c r="A2" s="8" t="inlineStr">
        <is>
          <t>Coal/Lignite Thermal</t>
        </is>
      </c>
      <c r="B2" s="9" t="inlineStr">
        <is>
          <t>Thermal</t>
        </is>
      </c>
      <c r="C2" s="10" t="n">
        <v>214.15</v>
      </c>
      <c r="D2" s="11">
        <f>C2/C13</f>
        <v/>
      </c>
      <c r="E2" s="10" t="n">
        <v>1268.5</v>
      </c>
      <c r="F2" s="11">
        <f>E2/E13</f>
        <v/>
      </c>
      <c r="G2" s="11" t="n">
        <v>0.032</v>
      </c>
      <c r="H2" s="10" t="n">
        <v>280</v>
      </c>
      <c r="I2" s="9" t="inlineStr">
        <is>
          <t>#EB5757</t>
        </is>
      </c>
      <c r="J2" s="9" t="inlineStr">
        <is>
          <t>Dominant source. Korba, Vindhyachal, Mundra, Talcher are key plants.</t>
        </is>
      </c>
    </row>
    <row r="3">
      <c r="A3" s="12" t="inlineStr">
        <is>
          <t>Gas Thermal</t>
        </is>
      </c>
      <c r="B3" s="13" t="inlineStr">
        <is>
          <t>Thermal</t>
        </is>
      </c>
      <c r="C3" s="14" t="n">
        <v>24.82</v>
      </c>
      <c r="D3" s="15">
        <f>C3/C13</f>
        <v/>
      </c>
      <c r="E3" s="14" t="n">
        <v>58.3</v>
      </c>
      <c r="F3" s="15">
        <f>E3/E13</f>
        <v/>
      </c>
      <c r="G3" s="15" t="n">
        <v>-0.015</v>
      </c>
      <c r="H3" s="14" t="n">
        <v>25</v>
      </c>
      <c r="I3" s="13" t="inlineStr">
        <is>
          <t>#F2994A</t>
        </is>
      </c>
      <c r="J3" s="13" t="inlineStr">
        <is>
          <t>Underutilised due to high gas prices. Many plants stranded.</t>
        </is>
      </c>
    </row>
    <row r="4">
      <c r="A4" s="8" t="inlineStr">
        <is>
          <t>Oil/Diesel Thermal</t>
        </is>
      </c>
      <c r="B4" s="9" t="inlineStr">
        <is>
          <t>Thermal</t>
        </is>
      </c>
      <c r="C4" s="10" t="n">
        <v>0.51</v>
      </c>
      <c r="D4" s="11">
        <f>C4/C13</f>
        <v/>
      </c>
      <c r="E4" s="10" t="n">
        <v>1.2</v>
      </c>
      <c r="F4" s="11">
        <f>E4/E13</f>
        <v/>
      </c>
      <c r="G4" s="11" t="n">
        <v>-0.05</v>
      </c>
      <c r="H4" s="10" t="n">
        <v>0.5</v>
      </c>
      <c r="I4" s="9" t="inlineStr">
        <is>
          <t>#F2994A</t>
        </is>
      </c>
      <c r="J4" s="9" t="inlineStr">
        <is>
          <t>Minimal, emergency/island use only.</t>
        </is>
      </c>
    </row>
    <row r="5">
      <c r="A5" s="12" t="inlineStr">
        <is>
          <t>Solar PV</t>
        </is>
      </c>
      <c r="B5" s="13" t="inlineStr">
        <is>
          <t>Renewable</t>
        </is>
      </c>
      <c r="C5" s="14" t="n">
        <v>108</v>
      </c>
      <c r="D5" s="15">
        <f>C5/C13</f>
        <v/>
      </c>
      <c r="E5" s="14" t="n">
        <v>144.15</v>
      </c>
      <c r="F5" s="15">
        <f>E5/E13</f>
        <v/>
      </c>
      <c r="G5" s="15" t="n">
        <v>0.411</v>
      </c>
      <c r="H5" s="14" t="n">
        <v>300</v>
      </c>
      <c r="I5" s="13" t="inlineStr">
        <is>
          <t>#F2C94C</t>
        </is>
      </c>
      <c r="J5" s="13" t="inlineStr">
        <is>
          <t>Fastest growing. Rajasthan &amp; Gujarat lead. Target 300 GW by 2030.</t>
        </is>
      </c>
    </row>
    <row r="6">
      <c r="A6" s="8" t="inlineStr">
        <is>
          <t>Wind</t>
        </is>
      </c>
      <c r="B6" s="9" t="inlineStr">
        <is>
          <t>Renewable</t>
        </is>
      </c>
      <c r="C6" s="10" t="n">
        <v>47.3</v>
      </c>
      <c r="D6" s="11">
        <f>C6/C13</f>
        <v/>
      </c>
      <c r="E6" s="10" t="n">
        <v>83.34999999999999</v>
      </c>
      <c r="F6" s="11">
        <f>E6/E13</f>
        <v/>
      </c>
      <c r="G6" s="11" t="n">
        <v>0.095</v>
      </c>
      <c r="H6" s="10" t="n">
        <v>100</v>
      </c>
      <c r="I6" s="9" t="inlineStr">
        <is>
          <t>#56CCF2</t>
        </is>
      </c>
      <c r="J6" s="9" t="inlineStr">
        <is>
          <t>Tamil Nadu, Gujarat, Karnataka leaders. Offshore wind being piloted.</t>
        </is>
      </c>
    </row>
    <row r="7">
      <c r="A7" s="12" t="inlineStr">
        <is>
          <t>Large Hydro</t>
        </is>
      </c>
      <c r="B7" s="13" t="inlineStr">
        <is>
          <t>Renewable</t>
        </is>
      </c>
      <c r="C7" s="14" t="n">
        <v>47.1</v>
      </c>
      <c r="D7" s="15">
        <f>C7/C13</f>
        <v/>
      </c>
      <c r="E7" s="14" t="n">
        <v>147</v>
      </c>
      <c r="F7" s="15">
        <f>E7/E13</f>
        <v/>
      </c>
      <c r="G7" s="15" t="n">
        <v>0.018</v>
      </c>
      <c r="H7" s="14" t="n">
        <v>67</v>
      </c>
      <c r="I7" s="13" t="inlineStr">
        <is>
          <t>#27AE60</t>
        </is>
      </c>
      <c r="J7" s="13" t="inlineStr">
        <is>
          <t>Himachal Pradesh, Uttarakhand, Jharkhand, Kerala, Karnataka.</t>
        </is>
      </c>
    </row>
    <row r="8">
      <c r="A8" s="8" t="inlineStr">
        <is>
          <t>Small Hydro</t>
        </is>
      </c>
      <c r="B8" s="9" t="inlineStr">
        <is>
          <t>Renewable</t>
        </is>
      </c>
      <c r="C8" s="10" t="n">
        <v>5.07</v>
      </c>
      <c r="D8" s="11">
        <f>C8/C13</f>
        <v/>
      </c>
      <c r="E8" s="10" t="n">
        <v>10.5</v>
      </c>
      <c r="F8" s="11">
        <f>E8/E13</f>
        <v/>
      </c>
      <c r="G8" s="11" t="n">
        <v>0.042</v>
      </c>
      <c r="H8" s="10" t="n">
        <v>10</v>
      </c>
      <c r="I8" s="9" t="inlineStr">
        <is>
          <t>#6FCF97</t>
        </is>
      </c>
      <c r="J8" s="9" t="inlineStr">
        <is>
          <t>Distributed across hilly states.</t>
        </is>
      </c>
    </row>
    <row r="9">
      <c r="A9" s="12" t="inlineStr">
        <is>
          <t>Nuclear</t>
        </is>
      </c>
      <c r="B9" s="13" t="inlineStr">
        <is>
          <t>Nuclear</t>
        </is>
      </c>
      <c r="C9" s="14" t="n">
        <v>7.48</v>
      </c>
      <c r="D9" s="15">
        <f>C9/C13</f>
        <v/>
      </c>
      <c r="E9" s="14" t="n">
        <v>48.6</v>
      </c>
      <c r="F9" s="15">
        <f>E9/E13</f>
        <v/>
      </c>
      <c r="G9" s="15" t="n">
        <v>0.028</v>
      </c>
      <c r="H9" s="14" t="n">
        <v>22.5</v>
      </c>
      <c r="I9" s="13" t="inlineStr">
        <is>
          <t>#9B51E0</t>
        </is>
      </c>
      <c r="J9" s="13" t="inlineStr">
        <is>
          <t>NPCIL operates 22 reactors. Target 100 GW by 2047.</t>
        </is>
      </c>
    </row>
    <row r="10">
      <c r="A10" s="8" t="inlineStr">
        <is>
          <t>Biomass/Bagasse/Biogas</t>
        </is>
      </c>
      <c r="B10" s="9" t="inlineStr">
        <is>
          <t>Bio</t>
        </is>
      </c>
      <c r="C10" s="10" t="n">
        <v>10.73</v>
      </c>
      <c r="D10" s="11">
        <f>C10/C13</f>
        <v/>
      </c>
      <c r="E10" s="10" t="n">
        <v>16</v>
      </c>
      <c r="F10" s="11">
        <f>E10/E13</f>
        <v/>
      </c>
      <c r="G10" s="11" t="n">
        <v>0.035</v>
      </c>
      <c r="H10" s="10" t="n">
        <v>18</v>
      </c>
      <c r="I10" s="9" t="inlineStr">
        <is>
          <t>#6FCF97</t>
        </is>
      </c>
      <c r="J10" s="9" t="inlineStr">
        <is>
          <t>Sugarcane belt states: UP, Maharashtra, Karnataka.</t>
        </is>
      </c>
    </row>
    <row r="11">
      <c r="A11" s="12" t="inlineStr">
        <is>
          <t>Waste-to-Energy</t>
        </is>
      </c>
      <c r="B11" s="13" t="inlineStr">
        <is>
          <t>Renewable</t>
        </is>
      </c>
      <c r="C11" s="14" t="n">
        <v>0.59</v>
      </c>
      <c r="D11" s="15">
        <f>C11/C13</f>
        <v/>
      </c>
      <c r="E11" s="14" t="n">
        <v>1.2</v>
      </c>
      <c r="F11" s="15">
        <f>E11/E13</f>
        <v/>
      </c>
      <c r="G11" s="15" t="n">
        <v>0.06</v>
      </c>
      <c r="H11" s="14" t="n">
        <v>2</v>
      </c>
      <c r="I11" s="13" t="inlineStr">
        <is>
          <t>#B2BABB</t>
        </is>
      </c>
      <c r="J11" s="13" t="inlineStr">
        <is>
          <t>Urban municipalities. Growing slowly.</t>
        </is>
      </c>
    </row>
    <row r="12">
      <c r="A12" s="8" t="inlineStr">
        <is>
          <t>Imports (Bhutan/Nepal)</t>
        </is>
      </c>
      <c r="B12" s="9" t="inlineStr">
        <is>
          <t>Import</t>
        </is>
      </c>
      <c r="C12" s="10" t="n">
        <v>1.5</v>
      </c>
      <c r="D12" s="11">
        <f>C12/C13</f>
        <v/>
      </c>
      <c r="E12" s="10" t="n">
        <v>9.470000000000001</v>
      </c>
      <c r="F12" s="11">
        <f>E12/E13</f>
        <v/>
      </c>
      <c r="G12" s="11" t="n">
        <v>0.02</v>
      </c>
      <c r="H12" s="10" t="n">
        <v>2</v>
      </c>
      <c r="I12" s="9" t="inlineStr">
        <is>
          <t>#D5D8DC</t>
        </is>
      </c>
      <c r="J12" s="9" t="inlineStr">
        <is>
          <t>Bhutan hydro imports via Assam corridor.</t>
        </is>
      </c>
    </row>
    <row r="13">
      <c r="A13" s="16" t="inlineStr">
        <is>
          <t>TOTAL ALL INDIA</t>
        </is>
      </c>
      <c r="B13" s="17" t="n"/>
      <c r="C13" s="18">
        <f>SUM(C2:C12)</f>
        <v/>
      </c>
      <c r="D13" s="19" t="inlineStr">
        <is>
          <t>100.0%</t>
        </is>
      </c>
      <c r="E13" s="18">
        <f>SUM(E2:E12)</f>
        <v/>
      </c>
      <c r="F13" s="19" t="inlineStr">
        <is>
          <t>100.0%</t>
        </is>
      </c>
      <c r="G13" s="17" t="n"/>
      <c r="H13" s="17" t="n"/>
      <c r="I13" s="17" t="n"/>
      <c r="J13" s="1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8" customWidth="1" min="3" max="3"/>
    <col width="12" customWidth="1" min="4" max="4"/>
    <col width="12" customWidth="1" min="5" max="5"/>
    <col width="15" customWidth="1" min="6" max="6"/>
    <col width="12" customWidth="1" min="7" max="7"/>
    <col width="12" customWidth="1" min="8" max="8"/>
    <col width="18" customWidth="1" min="9" max="9"/>
    <col width="18" customWidth="1" min="10" max="10"/>
    <col width="18" customWidth="1" min="11" max="11"/>
    <col width="22" customWidth="1" min="12" max="12"/>
  </cols>
  <sheetData>
    <row r="1" ht="35" customHeight="1">
      <c r="A1" s="7" t="inlineStr">
        <is>
          <t>State</t>
        </is>
      </c>
      <c r="B1" s="7" t="inlineStr">
        <is>
          <t>Region</t>
        </is>
      </c>
      <c r="C1" s="7" t="inlineStr">
        <is>
          <t>Total_Capacity_GW</t>
        </is>
      </c>
      <c r="D1" s="7" t="inlineStr">
        <is>
          <t>Solar_GW</t>
        </is>
      </c>
      <c r="E1" s="7" t="inlineStr">
        <is>
          <t>Wind_GW</t>
        </is>
      </c>
      <c r="F1" s="7" t="inlineStr">
        <is>
          <t>Large_Hydro_GW</t>
        </is>
      </c>
      <c r="G1" s="7" t="inlineStr">
        <is>
          <t>Thermal_GW</t>
        </is>
      </c>
      <c r="H1" s="7" t="inlineStr">
        <is>
          <t>Nuclear_GW</t>
        </is>
      </c>
      <c r="I1" s="7" t="inlineStr">
        <is>
          <t>Bio_Small_Hydro_GW</t>
        </is>
      </c>
      <c r="J1" s="7" t="inlineStr">
        <is>
          <t>RE_Share_Percent</t>
        </is>
      </c>
      <c r="K1" s="7" t="inlineStr">
        <is>
          <t>Power_Status</t>
        </is>
      </c>
      <c r="L1" s="7" t="inlineStr">
        <is>
          <t>Surplus_Deficit_Percent</t>
        </is>
      </c>
    </row>
    <row r="2">
      <c r="A2" s="20" t="inlineStr">
        <is>
          <t>Gujarat</t>
        </is>
      </c>
      <c r="B2" s="9" t="inlineStr">
        <is>
          <t>West</t>
        </is>
      </c>
      <c r="C2" s="10" t="n">
        <v>71</v>
      </c>
      <c r="D2" s="10" t="n">
        <v>24.1</v>
      </c>
      <c r="E2" s="10" t="n">
        <v>14.5</v>
      </c>
      <c r="F2" s="10" t="n">
        <v>1.99</v>
      </c>
      <c r="G2" s="10" t="n">
        <v>25</v>
      </c>
      <c r="H2" s="10" t="n">
        <v>0</v>
      </c>
      <c r="I2" s="10" t="n">
        <v>5.4</v>
      </c>
      <c r="J2" s="21">
        <f>(D2+E2+F2+I2)/C2</f>
        <v/>
      </c>
      <c r="K2" s="22" t="inlineStr">
        <is>
          <t>Surplus</t>
        </is>
      </c>
      <c r="L2" s="23" t="n">
        <v>0.05</v>
      </c>
    </row>
    <row r="3">
      <c r="A3" s="24" t="inlineStr">
        <is>
          <t>Rajasthan</t>
        </is>
      </c>
      <c r="B3" s="13" t="inlineStr">
        <is>
          <t>North</t>
        </is>
      </c>
      <c r="C3" s="14" t="n">
        <v>60</v>
      </c>
      <c r="D3" s="14" t="n">
        <v>34.1</v>
      </c>
      <c r="E3" s="14" t="n">
        <v>4.5</v>
      </c>
      <c r="F3" s="14" t="n">
        <v>0.5</v>
      </c>
      <c r="G3" s="14" t="n">
        <v>18</v>
      </c>
      <c r="H3" s="14" t="n">
        <v>0</v>
      </c>
      <c r="I3" s="14" t="n">
        <v>2.9</v>
      </c>
      <c r="J3" s="21">
        <f>(D3+E3+F3+I3)/C3</f>
        <v/>
      </c>
      <c r="K3" s="22" t="inlineStr">
        <is>
          <t>Surplus</t>
        </is>
      </c>
      <c r="L3" s="23" t="n">
        <v>0.03</v>
      </c>
    </row>
    <row r="4">
      <c r="A4" s="20" t="inlineStr">
        <is>
          <t>Maharashtra</t>
        </is>
      </c>
      <c r="B4" s="9" t="inlineStr">
        <is>
          <t>West</t>
        </is>
      </c>
      <c r="C4" s="10" t="n">
        <v>59</v>
      </c>
      <c r="D4" s="10" t="n">
        <v>16.1</v>
      </c>
      <c r="E4" s="10" t="n">
        <v>5.7</v>
      </c>
      <c r="F4" s="10" t="n">
        <v>3.05</v>
      </c>
      <c r="G4" s="10" t="n">
        <v>28</v>
      </c>
      <c r="H4" s="10" t="n">
        <v>0</v>
      </c>
      <c r="I4" s="10" t="n">
        <v>6.2</v>
      </c>
      <c r="J4" s="21">
        <f>(D4+E4+F4+I4)/C4</f>
        <v/>
      </c>
      <c r="K4" s="25" t="inlineStr">
        <is>
          <t>Balanced</t>
        </is>
      </c>
      <c r="L4" s="26" t="n">
        <v>0.005</v>
      </c>
    </row>
    <row r="5">
      <c r="A5" s="24" t="inlineStr">
        <is>
          <t>Uttar Pradesh</t>
        </is>
      </c>
      <c r="B5" s="13" t="inlineStr">
        <is>
          <t>North</t>
        </is>
      </c>
      <c r="C5" s="14" t="n">
        <v>38</v>
      </c>
      <c r="D5" s="14" t="n">
        <v>3.5</v>
      </c>
      <c r="E5" s="14" t="n">
        <v>0.1</v>
      </c>
      <c r="F5" s="14" t="n">
        <v>0.4</v>
      </c>
      <c r="G5" s="14" t="n">
        <v>31</v>
      </c>
      <c r="H5" s="14" t="n">
        <v>2.4</v>
      </c>
      <c r="I5" s="14" t="n">
        <v>0.6</v>
      </c>
      <c r="J5" s="21">
        <f>(D5+E5+F5+I5)/C5</f>
        <v/>
      </c>
      <c r="K5" s="27" t="inlineStr">
        <is>
          <t>Deficit</t>
        </is>
      </c>
      <c r="L5" s="28" t="n">
        <v>-0.035</v>
      </c>
    </row>
    <row r="6">
      <c r="A6" s="20" t="inlineStr">
        <is>
          <t>Tamil Nadu</t>
        </is>
      </c>
      <c r="B6" s="9" t="inlineStr">
        <is>
          <t>South</t>
        </is>
      </c>
      <c r="C6" s="10" t="n">
        <v>37.8</v>
      </c>
      <c r="D6" s="10" t="n">
        <v>8.1</v>
      </c>
      <c r="E6" s="10" t="n">
        <v>11.7</v>
      </c>
      <c r="F6" s="10" t="n">
        <v>2.2</v>
      </c>
      <c r="G6" s="10" t="n">
        <v>12</v>
      </c>
      <c r="H6" s="10" t="n">
        <v>2</v>
      </c>
      <c r="I6" s="10" t="n">
        <v>1.8</v>
      </c>
      <c r="J6" s="21">
        <f>(D6+E6+F6+I6)/C6</f>
        <v/>
      </c>
      <c r="K6" s="25" t="inlineStr">
        <is>
          <t>Balanced</t>
        </is>
      </c>
      <c r="L6" s="26" t="n">
        <v>0.01</v>
      </c>
    </row>
    <row r="7">
      <c r="A7" s="24" t="inlineStr">
        <is>
          <t>Karnataka</t>
        </is>
      </c>
      <c r="B7" s="13" t="inlineStr">
        <is>
          <t>South</t>
        </is>
      </c>
      <c r="C7" s="14" t="n">
        <v>35</v>
      </c>
      <c r="D7" s="14" t="n">
        <v>9.1</v>
      </c>
      <c r="E7" s="14" t="n">
        <v>6.8</v>
      </c>
      <c r="F7" s="14" t="n">
        <v>4.5</v>
      </c>
      <c r="G7" s="14" t="n">
        <v>10</v>
      </c>
      <c r="H7" s="14" t="n">
        <v>0</v>
      </c>
      <c r="I7" s="14" t="n">
        <v>4.6</v>
      </c>
      <c r="J7" s="21">
        <f>(D7+E7+F7+I7)/C7</f>
        <v/>
      </c>
      <c r="K7" s="22" t="inlineStr">
        <is>
          <t>Surplus</t>
        </is>
      </c>
      <c r="L7" s="23" t="n">
        <v>0.02</v>
      </c>
    </row>
    <row r="8">
      <c r="A8" s="20" t="inlineStr">
        <is>
          <t>Madhya Pradesh</t>
        </is>
      </c>
      <c r="B8" s="9" t="inlineStr">
        <is>
          <t>Central</t>
        </is>
      </c>
      <c r="C8" s="10" t="n">
        <v>30</v>
      </c>
      <c r="D8" s="10" t="n">
        <v>5.2</v>
      </c>
      <c r="E8" s="10" t="n">
        <v>0.8</v>
      </c>
      <c r="F8" s="10" t="n">
        <v>0.9</v>
      </c>
      <c r="G8" s="10" t="n">
        <v>21</v>
      </c>
      <c r="H8" s="10" t="n">
        <v>0</v>
      </c>
      <c r="I8" s="10" t="n">
        <v>2.1</v>
      </c>
      <c r="J8" s="21">
        <f>(D8+E8+F8+I8)/C8</f>
        <v/>
      </c>
      <c r="K8" s="25" t="inlineStr">
        <is>
          <t>Balanced</t>
        </is>
      </c>
      <c r="L8" s="26" t="n">
        <v>0.002</v>
      </c>
    </row>
    <row r="9">
      <c r="A9" s="24" t="inlineStr">
        <is>
          <t>Andhra Pradesh</t>
        </is>
      </c>
      <c r="B9" s="13" t="inlineStr">
        <is>
          <t>South</t>
        </is>
      </c>
      <c r="C9" s="14" t="n">
        <v>27</v>
      </c>
      <c r="D9" s="14" t="n">
        <v>6.5</v>
      </c>
      <c r="E9" s="14" t="n">
        <v>4.2</v>
      </c>
      <c r="F9" s="14" t="n">
        <v>2.4</v>
      </c>
      <c r="G9" s="14" t="n">
        <v>11</v>
      </c>
      <c r="H9" s="14" t="n">
        <v>0</v>
      </c>
      <c r="I9" s="14" t="n">
        <v>2.9</v>
      </c>
      <c r="J9" s="21">
        <f>(D9+E9+F9+I9)/C9</f>
        <v/>
      </c>
      <c r="K9" s="25" t="inlineStr">
        <is>
          <t>Balanced</t>
        </is>
      </c>
      <c r="L9" s="26" t="n">
        <v>0.015</v>
      </c>
    </row>
    <row r="10">
      <c r="A10" s="20" t="inlineStr">
        <is>
          <t>Telangana</t>
        </is>
      </c>
      <c r="B10" s="9" t="inlineStr">
        <is>
          <t>South</t>
        </is>
      </c>
      <c r="C10" s="10" t="n">
        <v>22</v>
      </c>
      <c r="D10" s="10" t="n">
        <v>4.8</v>
      </c>
      <c r="E10" s="10" t="n">
        <v>0.5</v>
      </c>
      <c r="F10" s="10" t="n">
        <v>2.1</v>
      </c>
      <c r="G10" s="10" t="n">
        <v>12.5</v>
      </c>
      <c r="H10" s="10" t="n">
        <v>0</v>
      </c>
      <c r="I10" s="10" t="n">
        <v>2.1</v>
      </c>
      <c r="J10" s="21">
        <f>(D10+E10+F10+I10)/C10</f>
        <v/>
      </c>
      <c r="K10" s="25" t="inlineStr">
        <is>
          <t>Balanced</t>
        </is>
      </c>
      <c r="L10" s="26" t="n">
        <v>0.008</v>
      </c>
    </row>
    <row r="11">
      <c r="A11" s="24" t="inlineStr">
        <is>
          <t>West Bengal</t>
        </is>
      </c>
      <c r="B11" s="13" t="inlineStr">
        <is>
          <t>East</t>
        </is>
      </c>
      <c r="C11" s="14" t="n">
        <v>16.5</v>
      </c>
      <c r="D11" s="14" t="n">
        <v>1.2</v>
      </c>
      <c r="E11" s="14" t="n">
        <v>0.1</v>
      </c>
      <c r="F11" s="14" t="n">
        <v>0.9</v>
      </c>
      <c r="G11" s="14" t="n">
        <v>13</v>
      </c>
      <c r="H11" s="14" t="n">
        <v>0</v>
      </c>
      <c r="I11" s="14" t="n">
        <v>1.3</v>
      </c>
      <c r="J11" s="21">
        <f>(D11+E11+F11+I11)/C11</f>
        <v/>
      </c>
      <c r="K11" s="25" t="inlineStr">
        <is>
          <t>Balanced</t>
        </is>
      </c>
      <c r="L11" s="26" t="n">
        <v>-0.005</v>
      </c>
    </row>
    <row r="12">
      <c r="A12" s="20" t="inlineStr">
        <is>
          <t>Chhattisgarh</t>
        </is>
      </c>
      <c r="B12" s="9" t="inlineStr">
        <is>
          <t>Central</t>
        </is>
      </c>
      <c r="C12" s="10" t="n">
        <v>16</v>
      </c>
      <c r="D12" s="10" t="n">
        <v>1.8</v>
      </c>
      <c r="E12" s="10" t="n">
        <v>0.2</v>
      </c>
      <c r="F12" s="10" t="n">
        <v>1.2</v>
      </c>
      <c r="G12" s="10" t="n">
        <v>12</v>
      </c>
      <c r="H12" s="10" t="n">
        <v>0</v>
      </c>
      <c r="I12" s="10" t="n">
        <v>0.8</v>
      </c>
      <c r="J12" s="21">
        <f>(D12+E12+F12+I12)/C12</f>
        <v/>
      </c>
      <c r="K12" s="22" t="inlineStr">
        <is>
          <t>Surplus</t>
        </is>
      </c>
      <c r="L12" s="23" t="n">
        <v>0.07000000000000001</v>
      </c>
    </row>
    <row r="13">
      <c r="A13" s="24" t="inlineStr">
        <is>
          <t>Punjab</t>
        </is>
      </c>
      <c r="B13" s="13" t="inlineStr">
        <is>
          <t>North</t>
        </is>
      </c>
      <c r="C13" s="14" t="n">
        <v>15</v>
      </c>
      <c r="D13" s="14" t="n">
        <v>2.5</v>
      </c>
      <c r="E13" s="14" t="n">
        <v>0.2</v>
      </c>
      <c r="F13" s="14" t="n">
        <v>0.8</v>
      </c>
      <c r="G13" s="14" t="n">
        <v>9.5</v>
      </c>
      <c r="H13" s="14" t="n">
        <v>0</v>
      </c>
      <c r="I13" s="14" t="n">
        <v>2</v>
      </c>
      <c r="J13" s="21">
        <f>(D13+E13+F13+I13)/C13</f>
        <v/>
      </c>
      <c r="K13" s="25" t="inlineStr">
        <is>
          <t>Balanced</t>
        </is>
      </c>
      <c r="L13" s="26" t="n">
        <v>0.01</v>
      </c>
    </row>
    <row r="14">
      <c r="A14" s="20" t="inlineStr">
        <is>
          <t>Haryana</t>
        </is>
      </c>
      <c r="B14" s="9" t="inlineStr">
        <is>
          <t>North</t>
        </is>
      </c>
      <c r="C14" s="10" t="n">
        <v>14.5</v>
      </c>
      <c r="D14" s="10" t="n">
        <v>3.1</v>
      </c>
      <c r="E14" s="10" t="n">
        <v>0.4</v>
      </c>
      <c r="F14" s="10" t="n">
        <v>0.1</v>
      </c>
      <c r="G14" s="10" t="n">
        <v>10</v>
      </c>
      <c r="H14" s="10" t="n">
        <v>0</v>
      </c>
      <c r="I14" s="10" t="n">
        <v>0.9</v>
      </c>
      <c r="J14" s="21">
        <f>(D14+E14+F14+I14)/C14</f>
        <v/>
      </c>
      <c r="K14" s="25" t="inlineStr">
        <is>
          <t>Balanced</t>
        </is>
      </c>
      <c r="L14" s="26" t="n">
        <v>-0.01</v>
      </c>
    </row>
    <row r="15">
      <c r="A15" s="24" t="inlineStr">
        <is>
          <t>Odisha</t>
        </is>
      </c>
      <c r="B15" s="13" t="inlineStr">
        <is>
          <t>East</t>
        </is>
      </c>
      <c r="C15" s="14" t="n">
        <v>14</v>
      </c>
      <c r="D15" s="14" t="n">
        <v>1.5</v>
      </c>
      <c r="E15" s="14" t="n">
        <v>0.1</v>
      </c>
      <c r="F15" s="14" t="n">
        <v>2.2</v>
      </c>
      <c r="G15" s="14" t="n">
        <v>9.5</v>
      </c>
      <c r="H15" s="14" t="n">
        <v>0</v>
      </c>
      <c r="I15" s="14" t="n">
        <v>0.7</v>
      </c>
      <c r="J15" s="21">
        <f>(D15+E15+F15+I15)/C15</f>
        <v/>
      </c>
      <c r="K15" s="25" t="inlineStr">
        <is>
          <t>Balanced</t>
        </is>
      </c>
      <c r="L15" s="26" t="n">
        <v>0.005</v>
      </c>
    </row>
    <row r="16">
      <c r="A16" s="20" t="inlineStr">
        <is>
          <t>Jharkhand</t>
        </is>
      </c>
      <c r="B16" s="9" t="inlineStr">
        <is>
          <t>East</t>
        </is>
      </c>
      <c r="C16" s="10" t="n">
        <v>10.5</v>
      </c>
      <c r="D16" s="10" t="n">
        <v>0.8</v>
      </c>
      <c r="E16" s="10" t="n">
        <v>0.1</v>
      </c>
      <c r="F16" s="10" t="n">
        <v>0.6</v>
      </c>
      <c r="G16" s="10" t="n">
        <v>8.5</v>
      </c>
      <c r="H16" s="10" t="n">
        <v>0</v>
      </c>
      <c r="I16" s="10" t="n">
        <v>0.5</v>
      </c>
      <c r="J16" s="21">
        <f>(D16+E16+F16+I16)/C16</f>
        <v/>
      </c>
      <c r="K16" s="27" t="inlineStr">
        <is>
          <t>Deficit</t>
        </is>
      </c>
      <c r="L16" s="28" t="n">
        <v>-0.075</v>
      </c>
    </row>
    <row r="17">
      <c r="A17" s="24" t="inlineStr">
        <is>
          <t>Bihar</t>
        </is>
      </c>
      <c r="B17" s="13" t="inlineStr">
        <is>
          <t>East</t>
        </is>
      </c>
      <c r="C17" s="14" t="n">
        <v>8</v>
      </c>
      <c r="D17" s="14" t="n">
        <v>1.2</v>
      </c>
      <c r="E17" s="14" t="n">
        <v>0</v>
      </c>
      <c r="F17" s="14" t="n">
        <v>0.1</v>
      </c>
      <c r="G17" s="14" t="n">
        <v>6.2</v>
      </c>
      <c r="H17" s="14" t="n">
        <v>0</v>
      </c>
      <c r="I17" s="14" t="n">
        <v>0.5</v>
      </c>
      <c r="J17" s="21">
        <f>(D17+E17+F17+I17)/C17</f>
        <v/>
      </c>
      <c r="K17" s="27" t="inlineStr">
        <is>
          <t>Deficit</t>
        </is>
      </c>
      <c r="L17" s="28" t="n">
        <v>-0.04</v>
      </c>
    </row>
    <row r="18">
      <c r="A18" s="20" t="inlineStr">
        <is>
          <t>Kerala</t>
        </is>
      </c>
      <c r="B18" s="9" t="inlineStr">
        <is>
          <t>South</t>
        </is>
      </c>
      <c r="C18" s="10" t="n">
        <v>7.5</v>
      </c>
      <c r="D18" s="10" t="n">
        <v>1.2</v>
      </c>
      <c r="E18" s="10" t="n">
        <v>0.2</v>
      </c>
      <c r="F18" s="10" t="n">
        <v>2.1</v>
      </c>
      <c r="G18" s="10" t="n">
        <v>0</v>
      </c>
      <c r="H18" s="10" t="n">
        <v>0</v>
      </c>
      <c r="I18" s="10" t="n">
        <v>4</v>
      </c>
      <c r="J18" s="21">
        <f>(D18+E18+F18+I18)/C18</f>
        <v/>
      </c>
      <c r="K18" s="27" t="inlineStr">
        <is>
          <t>Deficit</t>
        </is>
      </c>
      <c r="L18" s="28" t="n">
        <v>-0.03</v>
      </c>
    </row>
    <row r="19">
      <c r="A19" s="24" t="inlineStr">
        <is>
          <t>Himachal Pradesh</t>
        </is>
      </c>
      <c r="B19" s="13" t="inlineStr">
        <is>
          <t>North</t>
        </is>
      </c>
      <c r="C19" s="14" t="n">
        <v>6.5</v>
      </c>
      <c r="D19" s="14" t="n">
        <v>0.3</v>
      </c>
      <c r="E19" s="14" t="n">
        <v>0</v>
      </c>
      <c r="F19" s="14" t="n">
        <v>5.5</v>
      </c>
      <c r="G19" s="14" t="n">
        <v>0.3</v>
      </c>
      <c r="H19" s="14" t="n">
        <v>0</v>
      </c>
      <c r="I19" s="14" t="n">
        <v>0.4</v>
      </c>
      <c r="J19" s="21">
        <f>(D19+E19+F19+I19)/C19</f>
        <v/>
      </c>
      <c r="K19" s="22" t="inlineStr">
        <is>
          <t>Surplus</t>
        </is>
      </c>
      <c r="L19" s="23" t="n">
        <v>0.12</v>
      </c>
    </row>
    <row r="20">
      <c r="A20" s="20" t="inlineStr">
        <is>
          <t>Uttarakhand</t>
        </is>
      </c>
      <c r="B20" s="9" t="inlineStr">
        <is>
          <t>North</t>
        </is>
      </c>
      <c r="C20" s="10" t="n">
        <v>5.5</v>
      </c>
      <c r="D20" s="10" t="n">
        <v>0.4</v>
      </c>
      <c r="E20" s="10" t="n">
        <v>0</v>
      </c>
      <c r="F20" s="10" t="n">
        <v>4.6</v>
      </c>
      <c r="G20" s="10" t="n">
        <v>0.3</v>
      </c>
      <c r="H20" s="10" t="n">
        <v>0</v>
      </c>
      <c r="I20" s="10" t="n">
        <v>0.2</v>
      </c>
      <c r="J20" s="21">
        <f>(D20+E20+F20+I20)/C20</f>
        <v/>
      </c>
      <c r="K20" s="22" t="inlineStr">
        <is>
          <t>Surplus</t>
        </is>
      </c>
      <c r="L20" s="23" t="n">
        <v>0.1</v>
      </c>
    </row>
    <row r="21">
      <c r="A21" s="24" t="inlineStr">
        <is>
          <t>Assam</t>
        </is>
      </c>
      <c r="B21" s="13" t="inlineStr">
        <is>
          <t>NE</t>
        </is>
      </c>
      <c r="C21" s="14" t="n">
        <v>4</v>
      </c>
      <c r="D21" s="14" t="n">
        <v>0.5</v>
      </c>
      <c r="E21" s="14" t="n">
        <v>0.1</v>
      </c>
      <c r="F21" s="14" t="n">
        <v>0.7</v>
      </c>
      <c r="G21" s="14" t="n">
        <v>2.5</v>
      </c>
      <c r="H21" s="14" t="n">
        <v>0</v>
      </c>
      <c r="I21" s="14" t="n">
        <v>0.2</v>
      </c>
      <c r="J21" s="21">
        <f>(D21+E21+F21+I21)/C21</f>
        <v/>
      </c>
      <c r="K21" s="25" t="inlineStr">
        <is>
          <t>Balanced</t>
        </is>
      </c>
      <c r="L21" s="26" t="n">
        <v>-0.015</v>
      </c>
    </row>
    <row r="22">
      <c r="A22" s="20" t="inlineStr">
        <is>
          <t>Sikkim</t>
        </is>
      </c>
      <c r="B22" s="9" t="inlineStr">
        <is>
          <t>NE</t>
        </is>
      </c>
      <c r="C22" s="10" t="n">
        <v>0.7</v>
      </c>
      <c r="D22" s="10" t="n">
        <v>0.1</v>
      </c>
      <c r="E22" s="10" t="n">
        <v>0</v>
      </c>
      <c r="F22" s="10" t="n">
        <v>0.55</v>
      </c>
      <c r="G22" s="10" t="n">
        <v>0</v>
      </c>
      <c r="H22" s="10" t="n">
        <v>0</v>
      </c>
      <c r="I22" s="10" t="n">
        <v>0.05</v>
      </c>
      <c r="J22" s="21">
        <f>(D22+E22+F22+I22)/C22</f>
        <v/>
      </c>
      <c r="K22" s="22" t="inlineStr">
        <is>
          <t>Surplus</t>
        </is>
      </c>
      <c r="L22" s="23" t="n">
        <v>0.25</v>
      </c>
    </row>
    <row r="23">
      <c r="A23" s="24" t="inlineStr">
        <is>
          <t>Goa</t>
        </is>
      </c>
      <c r="B23" s="13" t="inlineStr">
        <is>
          <t>West</t>
        </is>
      </c>
      <c r="C23" s="14" t="n">
        <v>0.8</v>
      </c>
      <c r="D23" s="14" t="n">
        <v>0.2</v>
      </c>
      <c r="E23" s="14" t="n">
        <v>0</v>
      </c>
      <c r="F23" s="14" t="n">
        <v>0.05</v>
      </c>
      <c r="G23" s="14" t="n">
        <v>0.5</v>
      </c>
      <c r="H23" s="14" t="n">
        <v>0</v>
      </c>
      <c r="I23" s="14" t="n">
        <v>0.05</v>
      </c>
      <c r="J23" s="21">
        <f>(D23+E23+F23+I23)/C23</f>
        <v/>
      </c>
      <c r="K23" s="25" t="inlineStr">
        <is>
          <t>Balanced</t>
        </is>
      </c>
      <c r="L23" s="26" t="n">
        <v>0.02</v>
      </c>
    </row>
    <row r="24">
      <c r="A24" s="20" t="inlineStr">
        <is>
          <t>Nagaland</t>
        </is>
      </c>
      <c r="B24" s="9" t="inlineStr">
        <is>
          <t>NE</t>
        </is>
      </c>
      <c r="C24" s="10" t="n">
        <v>0.4</v>
      </c>
      <c r="D24" s="10" t="n">
        <v>0.05</v>
      </c>
      <c r="E24" s="10" t="n">
        <v>0</v>
      </c>
      <c r="F24" s="10" t="n">
        <v>0.25</v>
      </c>
      <c r="G24" s="10" t="n">
        <v>0.1</v>
      </c>
      <c r="H24" s="10" t="n">
        <v>0</v>
      </c>
      <c r="I24" s="10" t="n">
        <v>0</v>
      </c>
      <c r="J24" s="21">
        <f>(D24+E24+F24+I24)/C24</f>
        <v/>
      </c>
      <c r="K24" s="27" t="inlineStr">
        <is>
          <t>Deficit</t>
        </is>
      </c>
      <c r="L24" s="28" t="n">
        <v>-0.05</v>
      </c>
    </row>
    <row r="25">
      <c r="A25" s="24" t="inlineStr">
        <is>
          <t>Manipur</t>
        </is>
      </c>
      <c r="B25" s="13" t="inlineStr">
        <is>
          <t>NE</t>
        </is>
      </c>
      <c r="C25" s="14" t="n">
        <v>0.5</v>
      </c>
      <c r="D25" s="14" t="n">
        <v>0.05</v>
      </c>
      <c r="E25" s="14" t="n">
        <v>0</v>
      </c>
      <c r="F25" s="14" t="n">
        <v>0.35</v>
      </c>
      <c r="G25" s="14" t="n">
        <v>0.1</v>
      </c>
      <c r="H25" s="14" t="n">
        <v>0</v>
      </c>
      <c r="I25" s="14" t="n">
        <v>0</v>
      </c>
      <c r="J25" s="21">
        <f>(D25+E25+F25+I25)/C25</f>
        <v/>
      </c>
      <c r="K25" s="27" t="inlineStr">
        <is>
          <t>Deficit</t>
        </is>
      </c>
      <c r="L25" s="28" t="n">
        <v>-0.06</v>
      </c>
    </row>
    <row r="26">
      <c r="A26" s="20" t="inlineStr">
        <is>
          <t>Meghalaya</t>
        </is>
      </c>
      <c r="B26" s="9" t="inlineStr">
        <is>
          <t>NE</t>
        </is>
      </c>
      <c r="C26" s="10" t="n">
        <v>0.9</v>
      </c>
      <c r="D26" s="10" t="n">
        <v>0.05</v>
      </c>
      <c r="E26" s="10" t="n">
        <v>0</v>
      </c>
      <c r="F26" s="10" t="n">
        <v>0.65</v>
      </c>
      <c r="G26" s="10" t="n">
        <v>0.2</v>
      </c>
      <c r="H26" s="10" t="n">
        <v>0</v>
      </c>
      <c r="I26" s="10" t="n">
        <v>0</v>
      </c>
      <c r="J26" s="21">
        <f>(D26+E26+F26+I26)/C26</f>
        <v/>
      </c>
      <c r="K26" s="25" t="inlineStr">
        <is>
          <t>Balanced</t>
        </is>
      </c>
      <c r="L26" s="26" t="n">
        <v>0.01</v>
      </c>
    </row>
    <row r="27">
      <c r="A27" s="24" t="inlineStr">
        <is>
          <t>Tripura</t>
        </is>
      </c>
      <c r="B27" s="13" t="inlineStr">
        <is>
          <t>NE</t>
        </is>
      </c>
      <c r="C27" s="14" t="n">
        <v>1.2</v>
      </c>
      <c r="D27" s="14" t="n">
        <v>0.1</v>
      </c>
      <c r="E27" s="14" t="n">
        <v>0</v>
      </c>
      <c r="F27" s="14" t="n">
        <v>0.15</v>
      </c>
      <c r="G27" s="14" t="n">
        <v>0.8</v>
      </c>
      <c r="H27" s="14" t="n">
        <v>0</v>
      </c>
      <c r="I27" s="14" t="n">
        <v>0.15</v>
      </c>
      <c r="J27" s="21">
        <f>(D27+E27+F27+I27)/C27</f>
        <v/>
      </c>
      <c r="K27" s="25" t="inlineStr">
        <is>
          <t>Balanced</t>
        </is>
      </c>
      <c r="L27" s="26" t="n">
        <v>0.005</v>
      </c>
    </row>
    <row r="28">
      <c r="A28" s="20" t="inlineStr">
        <is>
          <t>Arunachal Pradesh</t>
        </is>
      </c>
      <c r="B28" s="9" t="inlineStr">
        <is>
          <t>NE</t>
        </is>
      </c>
      <c r="C28" s="10" t="n">
        <v>1.6</v>
      </c>
      <c r="D28" s="10" t="n">
        <v>0.1</v>
      </c>
      <c r="E28" s="10" t="n">
        <v>0</v>
      </c>
      <c r="F28" s="10" t="n">
        <v>1.4</v>
      </c>
      <c r="G28" s="10" t="n">
        <v>0.1</v>
      </c>
      <c r="H28" s="10" t="n">
        <v>0</v>
      </c>
      <c r="I28" s="10" t="n">
        <v>0</v>
      </c>
      <c r="J28" s="21">
        <f>(D28+E28+F28+I28)/C28</f>
        <v/>
      </c>
      <c r="K28" s="22" t="inlineStr">
        <is>
          <t>Surplus</t>
        </is>
      </c>
      <c r="L28" s="23" t="n">
        <v>0.15</v>
      </c>
    </row>
    <row r="29">
      <c r="A29" s="24" t="inlineStr">
        <is>
          <t>Delhi</t>
        </is>
      </c>
      <c r="B29" s="13" t="inlineStr">
        <is>
          <t>North</t>
        </is>
      </c>
      <c r="C29" s="14" t="n">
        <v>2</v>
      </c>
      <c r="D29" s="14" t="n">
        <v>1.2</v>
      </c>
      <c r="E29" s="14" t="n">
        <v>0</v>
      </c>
      <c r="F29" s="14" t="n">
        <v>0</v>
      </c>
      <c r="G29" s="14" t="n">
        <v>0.5</v>
      </c>
      <c r="H29" s="14" t="n">
        <v>0</v>
      </c>
      <c r="I29" s="14" t="n">
        <v>0.3</v>
      </c>
      <c r="J29" s="21">
        <f>(D29+E29+F29+I29)/C29</f>
        <v/>
      </c>
      <c r="K29" s="27" t="inlineStr">
        <is>
          <t>Deficit</t>
        </is>
      </c>
      <c r="L29" s="28" t="n">
        <v>0</v>
      </c>
    </row>
    <row r="30">
      <c r="A30" s="20" t="inlineStr">
        <is>
          <t>Jammu &amp; Kashmir</t>
        </is>
      </c>
      <c r="B30" s="9" t="inlineStr">
        <is>
          <t>North</t>
        </is>
      </c>
      <c r="C30" s="10" t="n">
        <v>3.5</v>
      </c>
      <c r="D30" s="10" t="n">
        <v>0.8</v>
      </c>
      <c r="E30" s="10" t="n">
        <v>0.1</v>
      </c>
      <c r="F30" s="10" t="n">
        <v>2.2</v>
      </c>
      <c r="G30" s="10" t="n">
        <v>0.3</v>
      </c>
      <c r="H30" s="10" t="n">
        <v>0</v>
      </c>
      <c r="I30" s="10" t="n">
        <v>0.1</v>
      </c>
      <c r="J30" s="21">
        <f>(D30+E30+F30+I30)/C30</f>
        <v/>
      </c>
      <c r="K30" s="25" t="inlineStr">
        <is>
          <t>Balanced</t>
        </is>
      </c>
      <c r="L30" s="26" t="n">
        <v>-0.02</v>
      </c>
    </row>
    <row r="31">
      <c r="A31" s="16" t="inlineStr">
        <is>
          <t>ALL INDIA TOTAL</t>
        </is>
      </c>
      <c r="B31" s="17" t="n"/>
      <c r="C31" s="18">
        <f>SUM(C2:C30)</f>
        <v/>
      </c>
      <c r="D31" s="18">
        <f>SUM(D2:D30)</f>
        <v/>
      </c>
      <c r="E31" s="18">
        <f>SUM(E2:E30)</f>
        <v/>
      </c>
      <c r="F31" s="18">
        <f>SUM(F2:F30)</f>
        <v/>
      </c>
      <c r="G31" s="18">
        <f>SUM(G2:G30)</f>
        <v/>
      </c>
      <c r="H31" s="18">
        <f>SUM(H2:H30)</f>
        <v/>
      </c>
      <c r="I31" s="18">
        <f>SUM(I2:I30)</f>
        <v/>
      </c>
      <c r="J31" s="17" t="n"/>
      <c r="K31" s="17" t="n"/>
      <c r="L31" s="1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22" customWidth="1" min="3" max="3"/>
    <col width="20" customWidth="1" min="4" max="4"/>
    <col width="18" customWidth="1" min="5" max="5"/>
    <col width="18" customWidth="1" min="6" max="6"/>
    <col width="16" customWidth="1" min="7" max="7"/>
    <col width="22" customWidth="1" min="8" max="8"/>
    <col width="22" customWidth="1" min="9" max="9"/>
    <col width="20" customWidth="1" min="10" max="10"/>
    <col width="20" customWidth="1" min="11" max="11"/>
    <col width="18" customWidth="1" min="12" max="12"/>
  </cols>
  <sheetData>
    <row r="1" ht="35" customHeight="1">
      <c r="A1" s="7" t="inlineStr">
        <is>
          <t>State</t>
        </is>
      </c>
      <c r="B1" s="7" t="inlineStr">
        <is>
          <t>Region</t>
        </is>
      </c>
      <c r="C1" s="7" t="inlineStr">
        <is>
          <t>Annual_Consumption_GWh</t>
        </is>
      </c>
      <c r="D1" s="7" t="inlineStr">
        <is>
          <t>Share_of_India_Percent</t>
        </is>
      </c>
      <c r="E1" s="7" t="inlineStr">
        <is>
          <t>Per_Capita_kWh</t>
        </is>
      </c>
      <c r="F1" s="7" t="inlineStr">
        <is>
          <t>Population_Million</t>
        </is>
      </c>
      <c r="G1" s="7" t="inlineStr">
        <is>
          <t>Peak_Demand_MW</t>
        </is>
      </c>
      <c r="H1" s="7" t="inlineStr">
        <is>
          <t>Avg_Supply_Hours_Rural</t>
        </is>
      </c>
      <c r="I1" s="7" t="inlineStr">
        <is>
          <t>Power_Availability_Status</t>
        </is>
      </c>
      <c r="J1" s="7" t="inlineStr">
        <is>
          <t>Industrial_Share_Percent</t>
        </is>
      </c>
      <c r="K1" s="7" t="inlineStr">
        <is>
          <t>Agriculture_Share_Percent</t>
        </is>
      </c>
      <c r="L1" s="7" t="inlineStr">
        <is>
          <t>Domestic_Share_Percent</t>
        </is>
      </c>
    </row>
    <row r="2">
      <c r="A2" s="20" t="inlineStr">
        <is>
          <t>Maharashtra</t>
        </is>
      </c>
      <c r="B2" s="9" t="inlineStr">
        <is>
          <t>West</t>
        </is>
      </c>
      <c r="C2" s="29" t="n">
        <v>167347</v>
      </c>
      <c r="D2" s="30">
        <f>C2/C31</f>
        <v/>
      </c>
      <c r="E2" s="29" t="n">
        <v>1390</v>
      </c>
      <c r="F2" s="31" t="n">
        <v>120</v>
      </c>
      <c r="G2" s="29" t="n">
        <v>28000</v>
      </c>
      <c r="H2" s="32" t="n">
        <v>23</v>
      </c>
      <c r="I2" s="13" t="inlineStr">
        <is>
          <t>Reliable</t>
        </is>
      </c>
      <c r="J2" s="33" t="n">
        <v>0.45</v>
      </c>
      <c r="K2" s="33" t="n">
        <v>0.1</v>
      </c>
      <c r="L2" s="33" t="n">
        <v>0.28</v>
      </c>
    </row>
    <row r="3">
      <c r="A3" s="24" t="inlineStr">
        <is>
          <t>Uttar Pradesh</t>
        </is>
      </c>
      <c r="B3" s="13" t="inlineStr">
        <is>
          <t>North</t>
        </is>
      </c>
      <c r="C3" s="34" t="n">
        <v>121122</v>
      </c>
      <c r="D3" s="30">
        <f>C3/C31</f>
        <v/>
      </c>
      <c r="E3" s="34" t="n">
        <v>629</v>
      </c>
      <c r="F3" s="35" t="n">
        <v>240</v>
      </c>
      <c r="G3" s="34" t="n">
        <v>26000</v>
      </c>
      <c r="H3" s="36" t="n">
        <v>16.5</v>
      </c>
      <c r="I3" s="37" t="inlineStr">
        <is>
          <t>Poor</t>
        </is>
      </c>
      <c r="J3" s="38" t="n">
        <v>0.15</v>
      </c>
      <c r="K3" s="38" t="n">
        <v>0.35</v>
      </c>
      <c r="L3" s="38" t="n">
        <v>0.32</v>
      </c>
    </row>
    <row r="4">
      <c r="A4" s="20" t="inlineStr">
        <is>
          <t>Gujarat</t>
        </is>
      </c>
      <c r="B4" s="9" t="inlineStr">
        <is>
          <t>West</t>
        </is>
      </c>
      <c r="C4" s="29" t="n">
        <v>108000</v>
      </c>
      <c r="D4" s="30">
        <f>C4/C31</f>
        <v/>
      </c>
      <c r="E4" s="29" t="n">
        <v>1650</v>
      </c>
      <c r="F4" s="31" t="n">
        <v>65</v>
      </c>
      <c r="G4" s="29" t="n">
        <v>19000</v>
      </c>
      <c r="H4" s="32" t="n">
        <v>23.5</v>
      </c>
      <c r="I4" s="22" t="inlineStr">
        <is>
          <t>Excellent</t>
        </is>
      </c>
      <c r="J4" s="33" t="n">
        <v>0.52</v>
      </c>
      <c r="K4" s="33" t="n">
        <v>0.12</v>
      </c>
      <c r="L4" s="33" t="n">
        <v>0.22</v>
      </c>
    </row>
    <row r="5">
      <c r="A5" s="24" t="inlineStr">
        <is>
          <t>Tamil Nadu</t>
        </is>
      </c>
      <c r="B5" s="13" t="inlineStr">
        <is>
          <t>South</t>
        </is>
      </c>
      <c r="C5" s="34" t="n">
        <v>100000</v>
      </c>
      <c r="D5" s="30">
        <f>C5/C31</f>
        <v/>
      </c>
      <c r="E5" s="34" t="n">
        <v>1320</v>
      </c>
      <c r="F5" s="35" t="n">
        <v>76</v>
      </c>
      <c r="G5" s="34" t="n">
        <v>16000</v>
      </c>
      <c r="H5" s="36" t="n">
        <v>23</v>
      </c>
      <c r="I5" s="39" t="inlineStr">
        <is>
          <t>Good</t>
        </is>
      </c>
      <c r="J5" s="38" t="n">
        <v>0.38</v>
      </c>
      <c r="K5" s="38" t="n">
        <v>0.18</v>
      </c>
      <c r="L5" s="38" t="n">
        <v>0.28</v>
      </c>
    </row>
    <row r="6">
      <c r="A6" s="20" t="inlineStr">
        <is>
          <t>Rajasthan</t>
        </is>
      </c>
      <c r="B6" s="9" t="inlineStr">
        <is>
          <t>North</t>
        </is>
      </c>
      <c r="C6" s="29" t="n">
        <v>90000</v>
      </c>
      <c r="D6" s="30">
        <f>C6/C31</f>
        <v/>
      </c>
      <c r="E6" s="29" t="n">
        <v>1180</v>
      </c>
      <c r="F6" s="31" t="n">
        <v>76</v>
      </c>
      <c r="G6" s="29" t="n">
        <v>15000</v>
      </c>
      <c r="H6" s="32" t="n">
        <v>20</v>
      </c>
      <c r="I6" s="25" t="inlineStr">
        <is>
          <t>Moderate</t>
        </is>
      </c>
      <c r="J6" s="33" t="n">
        <v>0.28</v>
      </c>
      <c r="K6" s="33" t="n">
        <v>0.28</v>
      </c>
      <c r="L6" s="33" t="n">
        <v>0.3</v>
      </c>
    </row>
    <row r="7">
      <c r="A7" s="24" t="inlineStr">
        <is>
          <t>Andhra Pradesh</t>
        </is>
      </c>
      <c r="B7" s="13" t="inlineStr">
        <is>
          <t>South</t>
        </is>
      </c>
      <c r="C7" s="34" t="n">
        <v>85000</v>
      </c>
      <c r="D7" s="30">
        <f>C7/C31</f>
        <v/>
      </c>
      <c r="E7" s="34" t="n">
        <v>1700</v>
      </c>
      <c r="F7" s="35" t="n">
        <v>50</v>
      </c>
      <c r="G7" s="34" t="n">
        <v>13000</v>
      </c>
      <c r="H7" s="36" t="n">
        <v>22.5</v>
      </c>
      <c r="I7" s="39" t="inlineStr">
        <is>
          <t>Good</t>
        </is>
      </c>
      <c r="J7" s="38" t="n">
        <v>0.35</v>
      </c>
      <c r="K7" s="38" t="n">
        <v>0.22</v>
      </c>
      <c r="L7" s="38" t="n">
        <v>0.28</v>
      </c>
    </row>
    <row r="8">
      <c r="A8" s="20" t="inlineStr">
        <is>
          <t>Karnataka</t>
        </is>
      </c>
      <c r="B8" s="9" t="inlineStr">
        <is>
          <t>South</t>
        </is>
      </c>
      <c r="C8" s="29" t="n">
        <v>78000</v>
      </c>
      <c r="D8" s="30">
        <f>C8/C31</f>
        <v/>
      </c>
      <c r="E8" s="29" t="n">
        <v>1200</v>
      </c>
      <c r="F8" s="31" t="n">
        <v>65</v>
      </c>
      <c r="G8" s="29" t="n">
        <v>13500</v>
      </c>
      <c r="H8" s="32" t="n">
        <v>22</v>
      </c>
      <c r="I8" s="39" t="inlineStr">
        <is>
          <t>Good</t>
        </is>
      </c>
      <c r="J8" s="33" t="n">
        <v>0.4</v>
      </c>
      <c r="K8" s="33" t="n">
        <v>0.15</v>
      </c>
      <c r="L8" s="33" t="n">
        <v>0.3</v>
      </c>
    </row>
    <row r="9">
      <c r="A9" s="24" t="inlineStr">
        <is>
          <t>Madhya Pradesh</t>
        </is>
      </c>
      <c r="B9" s="13" t="inlineStr">
        <is>
          <t>Central</t>
        </is>
      </c>
      <c r="C9" s="34" t="n">
        <v>72000</v>
      </c>
      <c r="D9" s="30">
        <f>C9/C31</f>
        <v/>
      </c>
      <c r="E9" s="34" t="n">
        <v>870</v>
      </c>
      <c r="F9" s="35" t="n">
        <v>83</v>
      </c>
      <c r="G9" s="34" t="n">
        <v>14000</v>
      </c>
      <c r="H9" s="36" t="n">
        <v>19</v>
      </c>
      <c r="I9" s="25" t="inlineStr">
        <is>
          <t>Moderate</t>
        </is>
      </c>
      <c r="J9" s="38" t="n">
        <v>0.22</v>
      </c>
      <c r="K9" s="38" t="n">
        <v>0.32</v>
      </c>
      <c r="L9" s="38" t="n">
        <v>0.3</v>
      </c>
    </row>
    <row r="10">
      <c r="A10" s="20" t="inlineStr">
        <is>
          <t>West Bengal</t>
        </is>
      </c>
      <c r="B10" s="9" t="inlineStr">
        <is>
          <t>East</t>
        </is>
      </c>
      <c r="C10" s="29" t="n">
        <v>60000</v>
      </c>
      <c r="D10" s="30">
        <f>C10/C31</f>
        <v/>
      </c>
      <c r="E10" s="29" t="n">
        <v>640</v>
      </c>
      <c r="F10" s="31" t="n">
        <v>93</v>
      </c>
      <c r="G10" s="29" t="n">
        <v>11000</v>
      </c>
      <c r="H10" s="32" t="n">
        <v>18.5</v>
      </c>
      <c r="I10" s="25" t="inlineStr">
        <is>
          <t>Moderate</t>
        </is>
      </c>
      <c r="J10" s="33" t="n">
        <v>0.3</v>
      </c>
      <c r="K10" s="33" t="n">
        <v>0.12</v>
      </c>
      <c r="L10" s="33" t="n">
        <v>0.4</v>
      </c>
    </row>
    <row r="11">
      <c r="A11" s="24" t="inlineStr">
        <is>
          <t>Telangana</t>
        </is>
      </c>
      <c r="B11" s="13" t="inlineStr">
        <is>
          <t>South</t>
        </is>
      </c>
      <c r="C11" s="34" t="n">
        <v>58000</v>
      </c>
      <c r="D11" s="30">
        <f>C11/C31</f>
        <v/>
      </c>
      <c r="E11" s="34" t="n">
        <v>1600</v>
      </c>
      <c r="F11" s="35" t="n">
        <v>36</v>
      </c>
      <c r="G11" s="34" t="n">
        <v>10500</v>
      </c>
      <c r="H11" s="36" t="n">
        <v>22</v>
      </c>
      <c r="I11" s="39" t="inlineStr">
        <is>
          <t>Good</t>
        </is>
      </c>
      <c r="J11" s="38" t="n">
        <v>0.42</v>
      </c>
      <c r="K11" s="38" t="n">
        <v>0.2</v>
      </c>
      <c r="L11" s="38" t="n">
        <v>0.25</v>
      </c>
    </row>
    <row r="12">
      <c r="A12" s="20" t="inlineStr">
        <is>
          <t>Haryana</t>
        </is>
      </c>
      <c r="B12" s="9" t="inlineStr">
        <is>
          <t>North</t>
        </is>
      </c>
      <c r="C12" s="29" t="n">
        <v>47000</v>
      </c>
      <c r="D12" s="30">
        <f>C12/C31</f>
        <v/>
      </c>
      <c r="E12" s="29" t="n">
        <v>1700</v>
      </c>
      <c r="F12" s="31" t="n">
        <v>28</v>
      </c>
      <c r="G12" s="29" t="n">
        <v>9000</v>
      </c>
      <c r="H12" s="32" t="n">
        <v>20</v>
      </c>
      <c r="I12" s="25" t="inlineStr">
        <is>
          <t>Moderate</t>
        </is>
      </c>
      <c r="J12" s="33" t="n">
        <v>0.3</v>
      </c>
      <c r="K12" s="33" t="n">
        <v>0.28</v>
      </c>
      <c r="L12" s="33" t="n">
        <v>0.28</v>
      </c>
    </row>
    <row r="13">
      <c r="A13" s="24" t="inlineStr">
        <is>
          <t>Punjab</t>
        </is>
      </c>
      <c r="B13" s="13" t="inlineStr">
        <is>
          <t>North</t>
        </is>
      </c>
      <c r="C13" s="34" t="n">
        <v>45000</v>
      </c>
      <c r="D13" s="30">
        <f>C13/C31</f>
        <v/>
      </c>
      <c r="E13" s="34" t="n">
        <v>1450</v>
      </c>
      <c r="F13" s="35" t="n">
        <v>31</v>
      </c>
      <c r="G13" s="34" t="n">
        <v>9500</v>
      </c>
      <c r="H13" s="36" t="n">
        <v>20.5</v>
      </c>
      <c r="I13" s="25" t="inlineStr">
        <is>
          <t>Moderate</t>
        </is>
      </c>
      <c r="J13" s="38" t="n">
        <v>0.2</v>
      </c>
      <c r="K13" s="38" t="n">
        <v>0.4</v>
      </c>
      <c r="L13" s="38" t="n">
        <v>0.28</v>
      </c>
    </row>
    <row r="14">
      <c r="A14" s="20" t="inlineStr">
        <is>
          <t>Bihar</t>
        </is>
      </c>
      <c r="B14" s="9" t="inlineStr">
        <is>
          <t>East</t>
        </is>
      </c>
      <c r="C14" s="29" t="n">
        <v>28000</v>
      </c>
      <c r="D14" s="30">
        <f>C14/C31</f>
        <v/>
      </c>
      <c r="E14" s="29" t="n">
        <v>350</v>
      </c>
      <c r="F14" s="31" t="n">
        <v>80</v>
      </c>
      <c r="G14" s="29" t="n">
        <v>6500</v>
      </c>
      <c r="H14" s="32" t="n">
        <v>12</v>
      </c>
      <c r="I14" s="27" t="inlineStr">
        <is>
          <t>Very Poor</t>
        </is>
      </c>
      <c r="J14" s="33" t="n">
        <v>0.1</v>
      </c>
      <c r="K14" s="33" t="n">
        <v>0.22</v>
      </c>
      <c r="L14" s="33" t="n">
        <v>0.52</v>
      </c>
    </row>
    <row r="15">
      <c r="A15" s="24" t="inlineStr">
        <is>
          <t>Chhattisgarh</t>
        </is>
      </c>
      <c r="B15" s="13" t="inlineStr">
        <is>
          <t>Central</t>
        </is>
      </c>
      <c r="C15" s="34" t="n">
        <v>27000</v>
      </c>
      <c r="D15" s="30">
        <f>C15/C31</f>
        <v/>
      </c>
      <c r="E15" s="34" t="n">
        <v>950</v>
      </c>
      <c r="F15" s="35" t="n">
        <v>28</v>
      </c>
      <c r="G15" s="34" t="n">
        <v>5500</v>
      </c>
      <c r="H15" s="36" t="n">
        <v>22.5</v>
      </c>
      <c r="I15" s="39" t="inlineStr">
        <is>
          <t>Good</t>
        </is>
      </c>
      <c r="J15" s="38" t="n">
        <v>0.55</v>
      </c>
      <c r="K15" s="38" t="n">
        <v>0.08</v>
      </c>
      <c r="L15" s="38" t="n">
        <v>0.22</v>
      </c>
    </row>
    <row r="16">
      <c r="A16" s="20" t="inlineStr">
        <is>
          <t>Kerala</t>
        </is>
      </c>
      <c r="B16" s="9" t="inlineStr">
        <is>
          <t>South</t>
        </is>
      </c>
      <c r="C16" s="29" t="n">
        <v>27581</v>
      </c>
      <c r="D16" s="30">
        <f>C16/C31</f>
        <v/>
      </c>
      <c r="E16" s="29" t="n">
        <v>1950</v>
      </c>
      <c r="F16" s="31" t="n">
        <v>35</v>
      </c>
      <c r="G16" s="29" t="n">
        <v>6013</v>
      </c>
      <c r="H16" s="32" t="n">
        <v>22</v>
      </c>
      <c r="I16" s="39" t="inlineStr">
        <is>
          <t>Good</t>
        </is>
      </c>
      <c r="J16" s="33" t="n">
        <v>0.2</v>
      </c>
      <c r="K16" s="33" t="n">
        <v>0.05</v>
      </c>
      <c r="L16" s="33" t="n">
        <v>0.52</v>
      </c>
    </row>
    <row r="17">
      <c r="A17" s="24" t="inlineStr">
        <is>
          <t>Odisha</t>
        </is>
      </c>
      <c r="B17" s="13" t="inlineStr">
        <is>
          <t>East</t>
        </is>
      </c>
      <c r="C17" s="34" t="n">
        <v>27000</v>
      </c>
      <c r="D17" s="30">
        <f>C17/C31</f>
        <v/>
      </c>
      <c r="E17" s="34" t="n">
        <v>600</v>
      </c>
      <c r="F17" s="35" t="n">
        <v>45</v>
      </c>
      <c r="G17" s="34" t="n">
        <v>5200</v>
      </c>
      <c r="H17" s="36" t="n">
        <v>19</v>
      </c>
      <c r="I17" s="25" t="inlineStr">
        <is>
          <t>Moderate</t>
        </is>
      </c>
      <c r="J17" s="38" t="n">
        <v>0.48</v>
      </c>
      <c r="K17" s="38" t="n">
        <v>0.1</v>
      </c>
      <c r="L17" s="38" t="n">
        <v>0.28</v>
      </c>
    </row>
    <row r="18">
      <c r="A18" s="20" t="inlineStr">
        <is>
          <t>Jharkhand</t>
        </is>
      </c>
      <c r="B18" s="9" t="inlineStr">
        <is>
          <t>East</t>
        </is>
      </c>
      <c r="C18" s="29" t="n">
        <v>18000</v>
      </c>
      <c r="D18" s="30">
        <f>C18/C31</f>
        <v/>
      </c>
      <c r="E18" s="29" t="n">
        <v>480</v>
      </c>
      <c r="F18" s="31" t="n">
        <v>38</v>
      </c>
      <c r="G18" s="29" t="n">
        <v>4500</v>
      </c>
      <c r="H18" s="32" t="n">
        <v>14</v>
      </c>
      <c r="I18" s="37" t="inlineStr">
        <is>
          <t>Poor</t>
        </is>
      </c>
      <c r="J18" s="33" t="n">
        <v>0.42</v>
      </c>
      <c r="K18" s="33" t="n">
        <v>0.12</v>
      </c>
      <c r="L18" s="33" t="n">
        <v>0.3</v>
      </c>
    </row>
    <row r="19">
      <c r="A19" s="24" t="inlineStr">
        <is>
          <t>Assam</t>
        </is>
      </c>
      <c r="B19" s="13" t="inlineStr">
        <is>
          <t>NE</t>
        </is>
      </c>
      <c r="C19" s="34" t="n">
        <v>10000</v>
      </c>
      <c r="D19" s="30">
        <f>C19/C31</f>
        <v/>
      </c>
      <c r="E19" s="34" t="n">
        <v>300</v>
      </c>
      <c r="F19" s="35" t="n">
        <v>35</v>
      </c>
      <c r="G19" s="34" t="n">
        <v>2200</v>
      </c>
      <c r="H19" s="36" t="n">
        <v>16</v>
      </c>
      <c r="I19" s="37" t="inlineStr">
        <is>
          <t>Poor</t>
        </is>
      </c>
      <c r="J19" s="38" t="n">
        <v>0.18</v>
      </c>
      <c r="K19" s="38" t="n">
        <v>0.15</v>
      </c>
      <c r="L19" s="38" t="n">
        <v>0.5</v>
      </c>
    </row>
    <row r="20">
      <c r="A20" s="20" t="inlineStr">
        <is>
          <t>Delhi</t>
        </is>
      </c>
      <c r="B20" s="9" t="inlineStr">
        <is>
          <t>North</t>
        </is>
      </c>
      <c r="C20" s="29" t="n">
        <v>32000</v>
      </c>
      <c r="D20" s="30">
        <f>C20/C31</f>
        <v/>
      </c>
      <c r="E20" s="29" t="n">
        <v>1650</v>
      </c>
      <c r="F20" s="31" t="n">
        <v>19</v>
      </c>
      <c r="G20" s="29" t="n">
        <v>8000</v>
      </c>
      <c r="H20" s="32" t="n">
        <v>23.8</v>
      </c>
      <c r="I20" s="22" t="inlineStr">
        <is>
          <t>Excellent</t>
        </is>
      </c>
      <c r="J20" s="33" t="n">
        <v>0.18</v>
      </c>
      <c r="K20" s="33" t="n">
        <v>0.02</v>
      </c>
      <c r="L20" s="33" t="n">
        <v>0.5</v>
      </c>
    </row>
    <row r="21">
      <c r="A21" s="24" t="inlineStr">
        <is>
          <t>Himachal Pradesh</t>
        </is>
      </c>
      <c r="B21" s="13" t="inlineStr">
        <is>
          <t>North</t>
        </is>
      </c>
      <c r="C21" s="34" t="n">
        <v>9000</v>
      </c>
      <c r="D21" s="30">
        <f>C21/C31</f>
        <v/>
      </c>
      <c r="E21" s="34" t="n">
        <v>1200</v>
      </c>
      <c r="F21" s="35" t="n">
        <v>7.5</v>
      </c>
      <c r="G21" s="34" t="n">
        <v>1800</v>
      </c>
      <c r="H21" s="36" t="n">
        <v>24</v>
      </c>
      <c r="I21" s="22" t="inlineStr">
        <is>
          <t>Excellent</t>
        </is>
      </c>
      <c r="J21" s="38" t="n">
        <v>0.35</v>
      </c>
      <c r="K21" s="38" t="n">
        <v>0.05</v>
      </c>
      <c r="L21" s="38" t="n">
        <v>0.4</v>
      </c>
    </row>
    <row r="22">
      <c r="A22" s="20" t="inlineStr">
        <is>
          <t>Uttarakhand</t>
        </is>
      </c>
      <c r="B22" s="9" t="inlineStr">
        <is>
          <t>North</t>
        </is>
      </c>
      <c r="C22" s="29" t="n">
        <v>12000</v>
      </c>
      <c r="D22" s="30">
        <f>C22/C31</f>
        <v/>
      </c>
      <c r="E22" s="29" t="n">
        <v>1050</v>
      </c>
      <c r="F22" s="31" t="n">
        <v>11.5</v>
      </c>
      <c r="G22" s="29" t="n">
        <v>2500</v>
      </c>
      <c r="H22" s="32" t="n">
        <v>23.5</v>
      </c>
      <c r="I22" s="39" t="inlineStr">
        <is>
          <t>Good</t>
        </is>
      </c>
      <c r="J22" s="33" t="n">
        <v>0.38</v>
      </c>
      <c r="K22" s="33" t="n">
        <v>0.1</v>
      </c>
      <c r="L22" s="33" t="n">
        <v>0.38</v>
      </c>
    </row>
    <row r="23">
      <c r="A23" s="24" t="inlineStr">
        <is>
          <t>Goa</t>
        </is>
      </c>
      <c r="B23" s="13" t="inlineStr">
        <is>
          <t>West</t>
        </is>
      </c>
      <c r="C23" s="34" t="n">
        <v>3500</v>
      </c>
      <c r="D23" s="30">
        <f>C23/C31</f>
        <v/>
      </c>
      <c r="E23" s="34" t="n">
        <v>2200</v>
      </c>
      <c r="F23" s="35" t="n">
        <v>1.6</v>
      </c>
      <c r="G23" s="34" t="n">
        <v>700</v>
      </c>
      <c r="H23" s="36" t="n">
        <v>24</v>
      </c>
      <c r="I23" s="22" t="inlineStr">
        <is>
          <t>Excellent</t>
        </is>
      </c>
      <c r="J23" s="38" t="n">
        <v>0.2</v>
      </c>
      <c r="K23" s="38" t="n">
        <v>0.02</v>
      </c>
      <c r="L23" s="38" t="n">
        <v>0.45</v>
      </c>
    </row>
    <row r="24">
      <c r="A24" s="20" t="inlineStr">
        <is>
          <t>Jammu &amp; Kashmir</t>
        </is>
      </c>
      <c r="B24" s="9" t="inlineStr">
        <is>
          <t>North</t>
        </is>
      </c>
      <c r="C24" s="29" t="n">
        <v>8000</v>
      </c>
      <c r="D24" s="30">
        <f>C24/C31</f>
        <v/>
      </c>
      <c r="E24" s="29" t="n">
        <v>600</v>
      </c>
      <c r="F24" s="31" t="n">
        <v>13</v>
      </c>
      <c r="G24" s="29" t="n">
        <v>2000</v>
      </c>
      <c r="H24" s="32" t="n">
        <v>18</v>
      </c>
      <c r="I24" s="25" t="inlineStr">
        <is>
          <t>Moderate</t>
        </is>
      </c>
      <c r="J24" s="33" t="n">
        <v>0.15</v>
      </c>
      <c r="K24" s="33" t="n">
        <v>0.15</v>
      </c>
      <c r="L24" s="33" t="n">
        <v>0.55</v>
      </c>
    </row>
    <row r="25">
      <c r="A25" s="24" t="inlineStr">
        <is>
          <t>Meghalaya</t>
        </is>
      </c>
      <c r="B25" s="13" t="inlineStr">
        <is>
          <t>NE</t>
        </is>
      </c>
      <c r="C25" s="34" t="n">
        <v>2000</v>
      </c>
      <c r="D25" s="30">
        <f>C25/C31</f>
        <v/>
      </c>
      <c r="E25" s="34" t="n">
        <v>650</v>
      </c>
      <c r="F25" s="35" t="n">
        <v>3.1</v>
      </c>
      <c r="G25" s="34" t="n">
        <v>500</v>
      </c>
      <c r="H25" s="36" t="n">
        <v>18</v>
      </c>
      <c r="I25" s="25" t="inlineStr">
        <is>
          <t>Moderate</t>
        </is>
      </c>
      <c r="J25" s="38" t="n">
        <v>0.2</v>
      </c>
      <c r="K25" s="38" t="n">
        <v>0.1</v>
      </c>
      <c r="L25" s="38" t="n">
        <v>0.55</v>
      </c>
    </row>
    <row r="26">
      <c r="A26" s="20" t="inlineStr">
        <is>
          <t>Tripura</t>
        </is>
      </c>
      <c r="B26" s="9" t="inlineStr">
        <is>
          <t>NE</t>
        </is>
      </c>
      <c r="C26" s="29" t="n">
        <v>2200</v>
      </c>
      <c r="D26" s="30">
        <f>C26/C31</f>
        <v/>
      </c>
      <c r="E26" s="29" t="n">
        <v>580</v>
      </c>
      <c r="F26" s="31" t="n">
        <v>3.8</v>
      </c>
      <c r="G26" s="29" t="n">
        <v>600</v>
      </c>
      <c r="H26" s="32" t="n">
        <v>18.5</v>
      </c>
      <c r="I26" s="25" t="inlineStr">
        <is>
          <t>Moderate</t>
        </is>
      </c>
      <c r="J26" s="33" t="n">
        <v>0.15</v>
      </c>
      <c r="K26" s="33" t="n">
        <v>0.12</v>
      </c>
      <c r="L26" s="33" t="n">
        <v>0.58</v>
      </c>
    </row>
    <row r="27">
      <c r="A27" s="24" t="inlineStr">
        <is>
          <t>Manipur</t>
        </is>
      </c>
      <c r="B27" s="13" t="inlineStr">
        <is>
          <t>NE</t>
        </is>
      </c>
      <c r="C27" s="34" t="n">
        <v>1200</v>
      </c>
      <c r="D27" s="30">
        <f>C27/C31</f>
        <v/>
      </c>
      <c r="E27" s="34" t="n">
        <v>400</v>
      </c>
      <c r="F27" s="35" t="n">
        <v>3</v>
      </c>
      <c r="G27" s="34" t="n">
        <v>350</v>
      </c>
      <c r="H27" s="36" t="n">
        <v>14</v>
      </c>
      <c r="I27" s="37" t="inlineStr">
        <is>
          <t>Poor</t>
        </is>
      </c>
      <c r="J27" s="38" t="n">
        <v>0.12</v>
      </c>
      <c r="K27" s="38" t="n">
        <v>0.1</v>
      </c>
      <c r="L27" s="38" t="n">
        <v>0.62</v>
      </c>
    </row>
    <row r="28">
      <c r="A28" s="20" t="inlineStr">
        <is>
          <t>Nagaland</t>
        </is>
      </c>
      <c r="B28" s="9" t="inlineStr">
        <is>
          <t>NE</t>
        </is>
      </c>
      <c r="C28" s="29" t="n">
        <v>800</v>
      </c>
      <c r="D28" s="30">
        <f>C28/C31</f>
        <v/>
      </c>
      <c r="E28" s="29" t="n">
        <v>350</v>
      </c>
      <c r="F28" s="31" t="n">
        <v>2.3</v>
      </c>
      <c r="G28" s="29" t="n">
        <v>250</v>
      </c>
      <c r="H28" s="32" t="n">
        <v>12</v>
      </c>
      <c r="I28" s="27" t="inlineStr">
        <is>
          <t>Very Poor</t>
        </is>
      </c>
      <c r="J28" s="33" t="n">
        <v>0.1</v>
      </c>
      <c r="K28" s="33" t="n">
        <v>0.1</v>
      </c>
      <c r="L28" s="33" t="n">
        <v>0.65</v>
      </c>
    </row>
    <row r="29">
      <c r="A29" s="24" t="inlineStr">
        <is>
          <t>Arunachal Pradesh</t>
        </is>
      </c>
      <c r="B29" s="13" t="inlineStr">
        <is>
          <t>NE</t>
        </is>
      </c>
      <c r="C29" s="34" t="n">
        <v>1000</v>
      </c>
      <c r="D29" s="30">
        <f>C29/C31</f>
        <v/>
      </c>
      <c r="E29" s="34" t="n">
        <v>680</v>
      </c>
      <c r="F29" s="35" t="n">
        <v>1.5</v>
      </c>
      <c r="G29" s="34" t="n">
        <v>280</v>
      </c>
      <c r="H29" s="36" t="n">
        <v>18</v>
      </c>
      <c r="I29" s="25" t="inlineStr">
        <is>
          <t>Moderate</t>
        </is>
      </c>
      <c r="J29" s="38" t="n">
        <v>0.12</v>
      </c>
      <c r="K29" s="38" t="n">
        <v>0.05</v>
      </c>
      <c r="L29" s="38" t="n">
        <v>0.65</v>
      </c>
    </row>
    <row r="30">
      <c r="A30" s="20" t="inlineStr">
        <is>
          <t>Sikkim</t>
        </is>
      </c>
      <c r="B30" s="9" t="inlineStr">
        <is>
          <t>NE</t>
        </is>
      </c>
      <c r="C30" s="29" t="n">
        <v>500</v>
      </c>
      <c r="D30" s="30">
        <f>C30/C31</f>
        <v/>
      </c>
      <c r="E30" s="29" t="n">
        <v>680</v>
      </c>
      <c r="F30" s="31" t="n">
        <v>0.7</v>
      </c>
      <c r="G30" s="29" t="n">
        <v>150</v>
      </c>
      <c r="H30" s="32" t="n">
        <v>24</v>
      </c>
      <c r="I30" s="22" t="inlineStr">
        <is>
          <t>Excellent</t>
        </is>
      </c>
      <c r="J30" s="33" t="n">
        <v>0.15</v>
      </c>
      <c r="K30" s="33" t="n">
        <v>0.05</v>
      </c>
      <c r="L30" s="33" t="n">
        <v>0.6</v>
      </c>
    </row>
    <row r="31">
      <c r="A31" s="16" t="inlineStr">
        <is>
          <t>ALL INDIA TOTAL</t>
        </is>
      </c>
      <c r="B31" s="17" t="n"/>
      <c r="C31" s="40">
        <f>SUM(C2:C30)</f>
        <v/>
      </c>
      <c r="D31" s="17" t="n"/>
      <c r="E31" s="17" t="n"/>
      <c r="F31" s="17" t="n"/>
      <c r="G31" s="40">
        <f>SUM(G2:G30)</f>
        <v/>
      </c>
      <c r="H31" s="17" t="n"/>
      <c r="I31" s="17" t="n"/>
      <c r="J31" s="17" t="n"/>
      <c r="K31" s="17" t="n"/>
      <c r="L31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16" customWidth="1" min="4" max="4"/>
    <col width="12" customWidth="1" min="5" max="5"/>
    <col width="12" customWidth="1" min="6" max="6"/>
    <col width="12" customWidth="1" min="7" max="7"/>
    <col width="20" customWidth="1" min="8" max="8"/>
    <col width="18" customWidth="1" min="9" max="9"/>
    <col width="16" customWidth="1" min="10" max="10"/>
  </cols>
  <sheetData>
    <row r="1" ht="35" customHeight="1">
      <c r="A1" s="7" t="inlineStr">
        <is>
          <t>FY_Year</t>
        </is>
      </c>
      <c r="B1" s="7" t="inlineStr">
        <is>
          <t>Total_Generation_BU</t>
        </is>
      </c>
      <c r="C1" s="7" t="inlineStr">
        <is>
          <t>Thermal_BU</t>
        </is>
      </c>
      <c r="D1" s="7" t="inlineStr">
        <is>
          <t>Large_Hydro_BU</t>
        </is>
      </c>
      <c r="E1" s="7" t="inlineStr">
        <is>
          <t>Nuclear_BU</t>
        </is>
      </c>
      <c r="F1" s="7" t="inlineStr">
        <is>
          <t>Solar_BU</t>
        </is>
      </c>
      <c r="G1" s="7" t="inlineStr">
        <is>
          <t>Wind_BU</t>
        </is>
      </c>
      <c r="H1" s="7" t="inlineStr">
        <is>
          <t>Bio_Small_Hydro_BU</t>
        </is>
      </c>
      <c r="I1" s="7" t="inlineStr">
        <is>
          <t>Total_Installed_GW</t>
        </is>
      </c>
      <c r="J1" s="7" t="inlineStr">
        <is>
          <t>RE_Share_Percent</t>
        </is>
      </c>
    </row>
    <row r="2">
      <c r="A2" s="9" t="inlineStr">
        <is>
          <t>FY 2014-15</t>
        </is>
      </c>
      <c r="B2" s="31" t="n">
        <v>1048.7</v>
      </c>
      <c r="C2" s="31" t="n">
        <v>855.2</v>
      </c>
      <c r="D2" s="31" t="n">
        <v>129.2</v>
      </c>
      <c r="E2" s="31" t="n">
        <v>36.6</v>
      </c>
      <c r="F2" s="31" t="n">
        <v>4.6</v>
      </c>
      <c r="G2" s="31" t="n">
        <v>28.2</v>
      </c>
      <c r="H2" s="31" t="n">
        <v>16.4</v>
      </c>
      <c r="I2" s="31" t="n">
        <v>249.4</v>
      </c>
      <c r="J2" s="11" t="n">
        <v>0.153</v>
      </c>
    </row>
    <row r="3">
      <c r="A3" s="13" t="inlineStr">
        <is>
          <t>FY 2015-16</t>
        </is>
      </c>
      <c r="B3" s="35" t="n">
        <v>1107.8</v>
      </c>
      <c r="C3" s="35" t="n">
        <v>897.7</v>
      </c>
      <c r="D3" s="35" t="n">
        <v>122.3</v>
      </c>
      <c r="E3" s="35" t="n">
        <v>37.4</v>
      </c>
      <c r="F3" s="35" t="n">
        <v>7.5</v>
      </c>
      <c r="G3" s="35" t="n">
        <v>28.6</v>
      </c>
      <c r="H3" s="35" t="n">
        <v>17.5</v>
      </c>
      <c r="I3" s="35" t="n">
        <v>298.1</v>
      </c>
      <c r="J3" s="15" t="n">
        <v>0.159</v>
      </c>
    </row>
    <row r="4">
      <c r="A4" s="9" t="inlineStr">
        <is>
          <t>FY 2016-17</t>
        </is>
      </c>
      <c r="B4" s="31" t="n">
        <v>1160.1</v>
      </c>
      <c r="C4" s="31" t="n">
        <v>934.4</v>
      </c>
      <c r="D4" s="31" t="n">
        <v>122.8</v>
      </c>
      <c r="E4" s="31" t="n">
        <v>37.5</v>
      </c>
      <c r="F4" s="31" t="n">
        <v>12.1</v>
      </c>
      <c r="G4" s="31" t="n">
        <v>46</v>
      </c>
      <c r="H4" s="31" t="n">
        <v>17.8</v>
      </c>
      <c r="I4" s="31" t="n">
        <v>328.8</v>
      </c>
      <c r="J4" s="11" t="n">
        <v>0.169</v>
      </c>
    </row>
    <row r="5">
      <c r="A5" s="13" t="inlineStr">
        <is>
          <t>FY 2017-18</t>
        </is>
      </c>
      <c r="B5" s="35" t="n">
        <v>1206.3</v>
      </c>
      <c r="C5" s="35" t="n">
        <v>961.3</v>
      </c>
      <c r="D5" s="35" t="n">
        <v>126.2</v>
      </c>
      <c r="E5" s="35" t="n">
        <v>38.2</v>
      </c>
      <c r="F5" s="35" t="n">
        <v>25.9</v>
      </c>
      <c r="G5" s="35" t="n">
        <v>52.7</v>
      </c>
      <c r="H5" s="35" t="n">
        <v>17.6</v>
      </c>
      <c r="I5" s="35" t="n">
        <v>344</v>
      </c>
      <c r="J5" s="15" t="n">
        <v>0.187</v>
      </c>
    </row>
    <row r="6">
      <c r="A6" s="9" t="inlineStr">
        <is>
          <t>FY 2018-19</t>
        </is>
      </c>
      <c r="B6" s="31" t="n">
        <v>1267.5</v>
      </c>
      <c r="C6" s="31" t="n">
        <v>994.7</v>
      </c>
      <c r="D6" s="31" t="n">
        <v>135.1</v>
      </c>
      <c r="E6" s="31" t="n">
        <v>37.2</v>
      </c>
      <c r="F6" s="31" t="n">
        <v>39.3</v>
      </c>
      <c r="G6" s="31" t="n">
        <v>62</v>
      </c>
      <c r="H6" s="31" t="n">
        <v>18.1</v>
      </c>
      <c r="I6" s="31" t="n">
        <v>356.1</v>
      </c>
      <c r="J6" s="11" t="n">
        <v>0.201</v>
      </c>
    </row>
    <row r="7">
      <c r="A7" s="13" t="inlineStr">
        <is>
          <t>FY 2019-20</t>
        </is>
      </c>
      <c r="B7" s="35" t="n">
        <v>1300.7</v>
      </c>
      <c r="C7" s="35" t="n">
        <v>987.3</v>
      </c>
      <c r="D7" s="35" t="n">
        <v>156</v>
      </c>
      <c r="E7" s="35" t="n">
        <v>46.5</v>
      </c>
      <c r="F7" s="35" t="n">
        <v>50.1</v>
      </c>
      <c r="G7" s="35" t="n">
        <v>65.09999999999999</v>
      </c>
      <c r="H7" s="35" t="n">
        <v>19</v>
      </c>
      <c r="I7" s="35" t="n">
        <v>370.1</v>
      </c>
      <c r="J7" s="15" t="n">
        <v>0.223</v>
      </c>
    </row>
    <row r="8">
      <c r="A8" s="9" t="inlineStr">
        <is>
          <t>FY 2020-21</t>
        </is>
      </c>
      <c r="B8" s="31" t="n">
        <v>1380</v>
      </c>
      <c r="C8" s="31" t="n">
        <v>1025</v>
      </c>
      <c r="D8" s="31" t="n">
        <v>150.3</v>
      </c>
      <c r="E8" s="31" t="n">
        <v>43.5</v>
      </c>
      <c r="F8" s="31" t="n">
        <v>60.4</v>
      </c>
      <c r="G8" s="31" t="n">
        <v>68.5</v>
      </c>
      <c r="H8" s="31" t="n">
        <v>19.8</v>
      </c>
      <c r="I8" s="31" t="n">
        <v>382.2</v>
      </c>
      <c r="J8" s="11" t="n">
        <v>0.226</v>
      </c>
    </row>
    <row r="9">
      <c r="A9" s="13" t="inlineStr">
        <is>
          <t>FY 2021-22</t>
        </is>
      </c>
      <c r="B9" s="35" t="n">
        <v>1491.9</v>
      </c>
      <c r="C9" s="35" t="n">
        <v>1123</v>
      </c>
      <c r="D9" s="35" t="n">
        <v>152</v>
      </c>
      <c r="E9" s="35" t="n">
        <v>47.1</v>
      </c>
      <c r="F9" s="35" t="n">
        <v>73.5</v>
      </c>
      <c r="G9" s="35" t="n">
        <v>68.59999999999999</v>
      </c>
      <c r="H9" s="35" t="n">
        <v>20.6</v>
      </c>
      <c r="I9" s="35" t="n">
        <v>399.5</v>
      </c>
      <c r="J9" s="15" t="n">
        <v>0.236</v>
      </c>
    </row>
    <row r="10">
      <c r="A10" s="9" t="inlineStr">
        <is>
          <t>FY 2022-23</t>
        </is>
      </c>
      <c r="B10" s="31" t="n">
        <v>1624.2</v>
      </c>
      <c r="C10" s="31" t="n">
        <v>1185</v>
      </c>
      <c r="D10" s="31" t="n">
        <v>157.5</v>
      </c>
      <c r="E10" s="31" t="n">
        <v>51</v>
      </c>
      <c r="F10" s="31" t="n">
        <v>92.5</v>
      </c>
      <c r="G10" s="31" t="n">
        <v>73</v>
      </c>
      <c r="H10" s="31" t="n">
        <v>21</v>
      </c>
      <c r="I10" s="31" t="n">
        <v>416.1</v>
      </c>
      <c r="J10" s="11" t="n">
        <v>0.252</v>
      </c>
    </row>
    <row r="11">
      <c r="A11" s="13" t="inlineStr">
        <is>
          <t>FY 2023-24</t>
        </is>
      </c>
      <c r="B11" s="35" t="n">
        <v>1735.9</v>
      </c>
      <c r="C11" s="35" t="n">
        <v>1258</v>
      </c>
      <c r="D11" s="35" t="n">
        <v>139.8</v>
      </c>
      <c r="E11" s="35" t="n">
        <v>48.4</v>
      </c>
      <c r="F11" s="35" t="n">
        <v>115.97</v>
      </c>
      <c r="G11" s="35" t="n">
        <v>79.8</v>
      </c>
      <c r="H11" s="35" t="n">
        <v>22</v>
      </c>
      <c r="I11" s="35" t="n">
        <v>442.8</v>
      </c>
      <c r="J11" s="15" t="n">
        <v>0.264</v>
      </c>
    </row>
    <row r="12">
      <c r="A12" s="9" t="inlineStr">
        <is>
          <t>FY 2024-25</t>
        </is>
      </c>
      <c r="B12" s="31" t="n">
        <v>1824.1</v>
      </c>
      <c r="C12" s="31" t="n">
        <v>1285</v>
      </c>
      <c r="D12" s="31" t="n">
        <v>147</v>
      </c>
      <c r="E12" s="31" t="n">
        <v>48.6</v>
      </c>
      <c r="F12" s="31" t="n">
        <v>144.15</v>
      </c>
      <c r="G12" s="31" t="n">
        <v>83.40000000000001</v>
      </c>
      <c r="H12" s="31" t="n">
        <v>23.5</v>
      </c>
      <c r="I12" s="31" t="n">
        <v>475.2</v>
      </c>
      <c r="J12" s="11" t="n">
        <v>0.28</v>
      </c>
    </row>
    <row r="14">
      <c r="A14" s="41" t="inlineStr">
        <is>
          <t>Sources: CEA Monthly Generation Reports, MNRE Annual Statistics, MoP Year-End Review 2024-25. FY = April–March.</t>
        </is>
      </c>
    </row>
  </sheetData>
  <mergeCells count="1">
    <mergeCell ref="A14:J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2026-04-27T08:43:11Z</dcterms:created>
  <dcterms:modified xmlns:dcterms="http://purl.org/dc/terms/" xmlns:xsi="http://www.w3.org/2001/XMLSchema-instance" xsi:type="dcterms:W3CDTF">2026-04-27T08:43:11Z</dcterms:modified>
</cp:coreProperties>
</file>